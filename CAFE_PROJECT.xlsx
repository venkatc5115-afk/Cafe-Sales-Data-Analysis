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ebe9fcce71790710/Documents/"/>
    </mc:Choice>
  </mc:AlternateContent>
  <xr:revisionPtr revIDLastSave="4" documentId="8_{87B13163-AEC8-41AB-A1E8-C81DD36492A9}" xr6:coauthVersionLast="47" xr6:coauthVersionMax="47" xr10:uidLastSave="{9535ABC1-8340-4C08-A125-979F27D2ADA6}"/>
  <bookViews>
    <workbookView xWindow="30" yWindow="30" windowWidth="23970" windowHeight="12870" firstSheet="1" activeTab="6" xr2:uid="{125D3F9C-2771-45BF-9045-2C1BC004DA20}"/>
  </bookViews>
  <sheets>
    <sheet name="Orders_tbl" sheetId="1" r:id="rId1"/>
    <sheet name="tabl_product" sheetId="4" r:id="rId2"/>
    <sheet name="product_tbl" sheetId="2" r:id="rId3"/>
    <sheet name="CLEANED_DATA" sheetId="6" r:id="rId4"/>
    <sheet name="KPI'S" sheetId="5" r:id="rId5"/>
    <sheet name="PIVOT_TABLE" sheetId="7" r:id="rId6"/>
    <sheet name="DASHBOARD" sheetId="8" r:id="rId7"/>
  </sheets>
  <definedNames>
    <definedName name="_xlcn.WorksheetConnection_CAFE_PROJECT.xlsxTable11" hidden="1">Table1[]</definedName>
    <definedName name="_xlcn.WorksheetConnection_CAFE_PROJECT.xlsxTable31" hidden="1">Table3[]</definedName>
    <definedName name="ExternalData_1" localSheetId="3" hidden="1">CLEANED_DATA!$A$1:$M$66</definedName>
    <definedName name="ExternalData_1" localSheetId="1" hidden="1">tabl_product!$A$1:$C$27</definedName>
    <definedName name="Slicer_order_date">#N/A</definedName>
    <definedName name="Slicer_product_ID">#N/A</definedName>
    <definedName name="Slicer_product_name">#N/A</definedName>
    <definedName name="Slicer_product_name1">#N/A</definedName>
    <definedName name="Slicer_tabl_product.category">#N/A</definedName>
    <definedName name="Slicer_tabl_product.category1">#N/A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AFE_PROJECT.xlsx!Table1"/>
          <x15:modelTable id="Table3" name="Table3" connection="WorksheetConnection_CAFE_PROJECT.xlsx!Table3"/>
        </x15:modelTables>
        <x15:modelRelationships>
          <x15:modelRelationship fromTable="Table1" fromColumn="product_ID" toTable="Table3"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8" l="1"/>
  <c r="B3" i="8"/>
  <c r="B3" i="5"/>
  <c r="B2" i="5"/>
  <c r="D50" i="1"/>
  <c r="D65"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1" i="1"/>
  <c r="D52" i="1"/>
  <c r="D53" i="1"/>
  <c r="D54" i="1"/>
  <c r="D55" i="1"/>
  <c r="D56" i="1"/>
  <c r="D57" i="1"/>
  <c r="D58" i="1"/>
  <c r="D59" i="1"/>
  <c r="D60" i="1"/>
  <c r="D61" i="1"/>
  <c r="D62" i="1"/>
  <c r="D63" i="1"/>
  <c r="D64" i="1"/>
  <c r="D66" i="1"/>
  <c r="D8" i="1"/>
  <c r="D3" i="1"/>
  <c r="D4" i="1"/>
  <c r="D5" i="1"/>
  <c r="D6" i="1"/>
  <c r="D7" i="1"/>
  <c r="D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76B7EA-929C-4D64-8F85-FC05042CC309}" keepAlive="1" name="Query - tabl_orders" description="Connection to the 'tabl_orders' query in the workbook." type="5" refreshedVersion="8" background="1" saveData="1">
    <dbPr connection="Provider=Microsoft.Mashup.OleDb.1;Data Source=$Workbook$;Location=tabl_orders;Extended Properties=&quot;&quot;" command="SELECT * FROM [tabl_orders]"/>
  </connection>
  <connection id="2" xr16:uid="{B9E2F79C-DD6E-4E6C-82C0-0DD2B14A83A2}" keepAlive="1" name="Query - tabl_product" description="Connection to the 'tabl_product' query in the workbook." type="5" refreshedVersion="8" background="1" saveData="1">
    <dbPr connection="Provider=Microsoft.Mashup.OleDb.1;Data Source=$Workbook$;Location=tabl_product;Extended Properties=&quot;&quot;" command="SELECT * FROM [tabl_product]"/>
  </connection>
  <connection id="3" xr16:uid="{399016A7-2E74-4D7F-B170-FDE713D4FA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4EF6009-257D-4079-8A0C-1A17B9DDB955}" name="WorksheetConnection_CAFE_PROJECT.xlsx!Table1" type="102" refreshedVersion="8" minRefreshableVersion="5">
    <extLst>
      <ext xmlns:x15="http://schemas.microsoft.com/office/spreadsheetml/2010/11/main" uri="{DE250136-89BD-433C-8126-D09CA5730AF9}">
        <x15:connection id="Table1">
          <x15:rangePr sourceName="_xlcn.WorksheetConnection_CAFE_PROJECT.xlsxTable11"/>
        </x15:connection>
      </ext>
    </extLst>
  </connection>
  <connection id="5" xr16:uid="{98B9CD40-8C84-4961-82F1-A1D5D502397B}" name="WorksheetConnection_CAFE_PROJECT.xlsx!Table3" type="102" refreshedVersion="8" minRefreshableVersion="5">
    <extLst>
      <ext xmlns:x15="http://schemas.microsoft.com/office/spreadsheetml/2010/11/main" uri="{DE250136-89BD-433C-8126-D09CA5730AF9}">
        <x15:connection id="Table3">
          <x15:rangePr sourceName="_xlcn.WorksheetConnection_CAFE_PROJECT.xlsxTable31"/>
        </x15:connection>
      </ext>
    </extLst>
  </connection>
</connections>
</file>

<file path=xl/sharedStrings.xml><?xml version="1.0" encoding="utf-8"?>
<sst xmlns="http://schemas.openxmlformats.org/spreadsheetml/2006/main" count="814" uniqueCount="256">
  <si>
    <t>Order_ID</t>
  </si>
  <si>
    <t>order_date</t>
  </si>
  <si>
    <t>318778</t>
  </si>
  <si>
    <t>2026-03-01</t>
  </si>
  <si>
    <t>14:03:75</t>
  </si>
  <si>
    <t>318836</t>
  </si>
  <si>
    <t>19:03:49</t>
  </si>
  <si>
    <t>321207</t>
  </si>
  <si>
    <t>2026-03-17</t>
  </si>
  <si>
    <t>14:03:60</t>
  </si>
  <si>
    <t>321436</t>
  </si>
  <si>
    <t>2026-03-18</t>
  </si>
  <si>
    <t>19:03:97</t>
  </si>
  <si>
    <t>321570</t>
  </si>
  <si>
    <t>2026-03-19</t>
  </si>
  <si>
    <t>18:03:99</t>
  </si>
  <si>
    <t>321893</t>
  </si>
  <si>
    <t>2026-03-21</t>
  </si>
  <si>
    <t>19:03:93</t>
  </si>
  <si>
    <t>321991</t>
  </si>
  <si>
    <t>2026-03-22</t>
  </si>
  <si>
    <t>12:03:56</t>
  </si>
  <si>
    <t>322084</t>
  </si>
  <si>
    <t>20:03:54</t>
  </si>
  <si>
    <t>322268</t>
  </si>
  <si>
    <t>2026-03-24</t>
  </si>
  <si>
    <t>16:03:14</t>
  </si>
  <si>
    <t>322503</t>
  </si>
  <si>
    <t>2026-03-25</t>
  </si>
  <si>
    <t>21:03:35</t>
  </si>
  <si>
    <t>322722</t>
  </si>
  <si>
    <t>2026-03-27</t>
  </si>
  <si>
    <t>14:03:88</t>
  </si>
  <si>
    <t>323084</t>
  </si>
  <si>
    <t>2026-03-29</t>
  </si>
  <si>
    <t>18:03:31</t>
  </si>
  <si>
    <t>323182</t>
  </si>
  <si>
    <t>21:03:33</t>
  </si>
  <si>
    <t>323894</t>
  </si>
  <si>
    <t>2026-04-03</t>
  </si>
  <si>
    <t>13:04:12</t>
  </si>
  <si>
    <t>323978</t>
  </si>
  <si>
    <t>20:04:84</t>
  </si>
  <si>
    <t>324147</t>
  </si>
  <si>
    <t>2026-04-04</t>
  </si>
  <si>
    <t>20:04:22</t>
  </si>
  <si>
    <t>324184</t>
  </si>
  <si>
    <t>21:04:36</t>
  </si>
  <si>
    <t>324329</t>
  </si>
  <si>
    <t>2026-04-05</t>
  </si>
  <si>
    <t>18:04:17</t>
  </si>
  <si>
    <t>324493</t>
  </si>
  <si>
    <t>2026-04-06</t>
  </si>
  <si>
    <t>18:04:27</t>
  </si>
  <si>
    <t>324793</t>
  </si>
  <si>
    <t>2026-04-08</t>
  </si>
  <si>
    <t>17:04:27</t>
  </si>
  <si>
    <t>324804</t>
  </si>
  <si>
    <t>18:04:13</t>
  </si>
  <si>
    <t>324997</t>
  </si>
  <si>
    <t>2026-04-09</t>
  </si>
  <si>
    <t>19:04:72</t>
  </si>
  <si>
    <t>324996</t>
  </si>
  <si>
    <t>18:04:52</t>
  </si>
  <si>
    <t>325137</t>
  </si>
  <si>
    <t>2026-04-10</t>
  </si>
  <si>
    <t>19:04:31</t>
  </si>
  <si>
    <t>325280</t>
  </si>
  <si>
    <t>2026-04-11</t>
  </si>
  <si>
    <t>20:04:80</t>
  </si>
  <si>
    <t>325481</t>
  </si>
  <si>
    <t>2026-04-12</t>
  </si>
  <si>
    <t>21:04:57</t>
  </si>
  <si>
    <t>325701</t>
  </si>
  <si>
    <t>2026-04-14</t>
  </si>
  <si>
    <t>13:04:87</t>
  </si>
  <si>
    <t>325779</t>
  </si>
  <si>
    <t>20:04:64</t>
  </si>
  <si>
    <t>325892</t>
  </si>
  <si>
    <t>2026-04-15</t>
  </si>
  <si>
    <t>16:04:26</t>
  </si>
  <si>
    <t>325900</t>
  </si>
  <si>
    <t>18:04:39</t>
  </si>
  <si>
    <t>326228</t>
  </si>
  <si>
    <t>2026-04-17</t>
  </si>
  <si>
    <t>18:04:23</t>
  </si>
  <si>
    <t>326792</t>
  </si>
  <si>
    <t>2026-04-20</t>
  </si>
  <si>
    <t>16:04:16</t>
  </si>
  <si>
    <t>326837</t>
  </si>
  <si>
    <t>19:04:63</t>
  </si>
  <si>
    <t>327211</t>
  </si>
  <si>
    <t>2026-04-22</t>
  </si>
  <si>
    <t>21:04:31</t>
  </si>
  <si>
    <t>327332</t>
  </si>
  <si>
    <t>2026-04-23</t>
  </si>
  <si>
    <t>19:04:34</t>
  </si>
  <si>
    <t>327527</t>
  </si>
  <si>
    <t>2026-04-24</t>
  </si>
  <si>
    <t>20:04:28</t>
  </si>
  <si>
    <t>327625</t>
  </si>
  <si>
    <t>2026-04-25</t>
  </si>
  <si>
    <t>19:04:69</t>
  </si>
  <si>
    <t>327972</t>
  </si>
  <si>
    <t>2026-04-27</t>
  </si>
  <si>
    <t>17:04:19</t>
  </si>
  <si>
    <t>328099</t>
  </si>
  <si>
    <t>2026-04-28</t>
  </si>
  <si>
    <t>12:04:51</t>
  </si>
  <si>
    <t>328498</t>
  </si>
  <si>
    <t>2026-04-30</t>
  </si>
  <si>
    <t>14:04:75</t>
  </si>
  <si>
    <t>328603</t>
  </si>
  <si>
    <t>21:04:03</t>
  </si>
  <si>
    <t>328687</t>
  </si>
  <si>
    <t>2026-05-01</t>
  </si>
  <si>
    <t>15:05:56</t>
  </si>
  <si>
    <t>328840</t>
  </si>
  <si>
    <t>2026-05-02</t>
  </si>
  <si>
    <t>12:05:76</t>
  </si>
  <si>
    <t>329313</t>
  </si>
  <si>
    <t>2026-05-04</t>
  </si>
  <si>
    <t>18:05:62</t>
  </si>
  <si>
    <t>329320</t>
  </si>
  <si>
    <t>19:05:88</t>
  </si>
  <si>
    <t>329343</t>
  </si>
  <si>
    <t>19:05:17</t>
  </si>
  <si>
    <t>329526</t>
  </si>
  <si>
    <t>2026-05-05</t>
  </si>
  <si>
    <t>20:05:74</t>
  </si>
  <si>
    <t>329689</t>
  </si>
  <si>
    <t>2026-05-06</t>
  </si>
  <si>
    <t>17:05:18</t>
  </si>
  <si>
    <t>329701</t>
  </si>
  <si>
    <t>18:05:67</t>
  </si>
  <si>
    <t>329928</t>
  </si>
  <si>
    <t>2026-05-07</t>
  </si>
  <si>
    <t>19:05:11</t>
  </si>
  <si>
    <t>330608</t>
  </si>
  <si>
    <t>2026-05-11</t>
  </si>
  <si>
    <t>13:05:40</t>
  </si>
  <si>
    <t>330930</t>
  </si>
  <si>
    <t>2026-05-13</t>
  </si>
  <si>
    <t>12:05:16</t>
  </si>
  <si>
    <t>331174</t>
  </si>
  <si>
    <t>2026-05-14</t>
  </si>
  <si>
    <t>19:05:42</t>
  </si>
  <si>
    <t>331215</t>
  </si>
  <si>
    <t>20:05:04</t>
  </si>
  <si>
    <t>331336</t>
  </si>
  <si>
    <t>2026-05-15</t>
  </si>
  <si>
    <t>17:05:27</t>
  </si>
  <si>
    <t>331344</t>
  </si>
  <si>
    <t>18:05:77</t>
  </si>
  <si>
    <t>331400</t>
  </si>
  <si>
    <t>21:05:96</t>
  </si>
  <si>
    <t>331422</t>
  </si>
  <si>
    <t>21:05:38</t>
  </si>
  <si>
    <t>331449</t>
  </si>
  <si>
    <t>2026-05-16</t>
  </si>
  <si>
    <t>11:05:44</t>
  </si>
  <si>
    <t>331467</t>
  </si>
  <si>
    <t>13:05:98</t>
  </si>
  <si>
    <t>331714</t>
  </si>
  <si>
    <t>2026-05-17</t>
  </si>
  <si>
    <t>21:05:77</t>
  </si>
  <si>
    <t>331805</t>
  </si>
  <si>
    <t>2026-05-18</t>
  </si>
  <si>
    <t>16:05:58</t>
  </si>
  <si>
    <t>332706</t>
  </si>
  <si>
    <t>2026-05-24</t>
  </si>
  <si>
    <t>18:05:41</t>
  </si>
  <si>
    <t>333047</t>
  </si>
  <si>
    <t>2026-05-26</t>
  </si>
  <si>
    <t>17:05:81</t>
  </si>
  <si>
    <t>333054</t>
  </si>
  <si>
    <t>18:05:42</t>
  </si>
  <si>
    <t>GST</t>
  </si>
  <si>
    <t>Total Received Amount</t>
  </si>
  <si>
    <t>order_time</t>
  </si>
  <si>
    <t>SUCCESS</t>
  </si>
  <si>
    <t>pending</t>
  </si>
  <si>
    <t>product_name</t>
  </si>
  <si>
    <t xml:space="preserve"> Price</t>
  </si>
  <si>
    <t>Discount</t>
  </si>
  <si>
    <t>Amount Afte Discount</t>
  </si>
  <si>
    <t>Delivery Charges</t>
  </si>
  <si>
    <t>Delivery_status</t>
  </si>
  <si>
    <t>product_id</t>
  </si>
  <si>
    <t>category</t>
  </si>
  <si>
    <t>product_ID</t>
  </si>
  <si>
    <t>V101</t>
  </si>
  <si>
    <t>V102</t>
  </si>
  <si>
    <t>V103</t>
  </si>
  <si>
    <t>CORN MOMOS</t>
  </si>
  <si>
    <t>VEG</t>
  </si>
  <si>
    <t>CORN &amp; CHEESE MOMOS</t>
  </si>
  <si>
    <t>MIXED-VEG MOMOS</t>
  </si>
  <si>
    <t>V104</t>
  </si>
  <si>
    <t>V105</t>
  </si>
  <si>
    <t>V106</t>
  </si>
  <si>
    <t>V107</t>
  </si>
  <si>
    <t>V108</t>
  </si>
  <si>
    <t>V109</t>
  </si>
  <si>
    <t>V110</t>
  </si>
  <si>
    <t>V111</t>
  </si>
  <si>
    <t>V112</t>
  </si>
  <si>
    <t>V113</t>
  </si>
  <si>
    <t>V114</t>
  </si>
  <si>
    <t>PANEER MOMOS</t>
  </si>
  <si>
    <t>PANEER TIKKA MOMOS</t>
  </si>
  <si>
    <t>VEG-NUGGETS</t>
  </si>
  <si>
    <t>POTATO CHEESE SHOTZ</t>
  </si>
  <si>
    <t>VEG FINGERS</t>
  </si>
  <si>
    <t>TANDOORI PANEER NUGGETS</t>
  </si>
  <si>
    <t>FRENCH FRIES</t>
  </si>
  <si>
    <t>SALTED-FRENCH FRIES</t>
  </si>
  <si>
    <t>PERI-PERI FRENCH FRIES</t>
  </si>
  <si>
    <t>V201</t>
  </si>
  <si>
    <t>V202</t>
  </si>
  <si>
    <t>V203</t>
  </si>
  <si>
    <t>V204</t>
  </si>
  <si>
    <t>V205</t>
  </si>
  <si>
    <t>V206</t>
  </si>
  <si>
    <t>V207</t>
  </si>
  <si>
    <t>V208</t>
  </si>
  <si>
    <t>V209</t>
  </si>
  <si>
    <t>V210</t>
  </si>
  <si>
    <t>V211</t>
  </si>
  <si>
    <t>V212</t>
  </si>
  <si>
    <t>CHICKEN MOMOS</t>
  </si>
  <si>
    <t>NON-VEG</t>
  </si>
  <si>
    <t>CHICKEN CHEESE MOMOS</t>
  </si>
  <si>
    <t>BUTTER CHICKEN MOMOS</t>
  </si>
  <si>
    <t>CHICKEN TIKKA MOMOS</t>
  </si>
  <si>
    <t>CHICKEN PERI PERI MOMOS</t>
  </si>
  <si>
    <t>CHICKEN SCHEZWAN MOMOS</t>
  </si>
  <si>
    <t>VEG-SCHEZWAN MOMOS</t>
  </si>
  <si>
    <t>CHICKEN KURKURE MOMOS</t>
  </si>
  <si>
    <t>CHICKEN NUGGETS</t>
  </si>
  <si>
    <t>CHICKEN FINGERS</t>
  </si>
  <si>
    <t>CHICKEN CHEESE BALLS</t>
  </si>
  <si>
    <t>CHICKEN POPCORN</t>
  </si>
  <si>
    <t>CHICKEN LOLLIPOP</t>
  </si>
  <si>
    <t>Quantity</t>
  </si>
  <si>
    <t>VEG-KURKURE MOMOS</t>
  </si>
  <si>
    <t>KEY PERFORMANCE INDICATORS</t>
  </si>
  <si>
    <t>SUM OF TOTAL AMOUNT</t>
  </si>
  <si>
    <t>COUNT OF TOTAL ORDERS</t>
  </si>
  <si>
    <t>tabl_product.category</t>
  </si>
  <si>
    <t>Row Labels</t>
  </si>
  <si>
    <t>Grand Total</t>
  </si>
  <si>
    <t>Sum of Total Received Amount</t>
  </si>
  <si>
    <t>SALES BY CATEGORY</t>
  </si>
  <si>
    <t>SALE BY PRODUCT NAME</t>
  </si>
  <si>
    <t>CAFÉ DATA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</si>
</sst>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2"/>
      <color rgb="FF33CC33"/>
      <name val="Calibri"/>
      <family val="2"/>
      <scheme val="minor"/>
    </font>
    <font>
      <b/>
      <sz val="14"/>
      <color theme="8"/>
      <name val="Calibri"/>
      <family val="2"/>
      <scheme val="minor"/>
    </font>
    <font>
      <b/>
      <sz val="16"/>
      <color theme="8"/>
      <name val="Calibri"/>
      <family val="2"/>
      <scheme val="minor"/>
    </font>
    <font>
      <b/>
      <sz val="16"/>
      <color theme="4" tint="-0.499984740745262"/>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00206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0" fontId="3" fillId="3" borderId="0" xfId="0" applyFont="1" applyFill="1" applyAlignment="1">
      <alignment horizontal="center"/>
    </xf>
    <xf numFmtId="0" fontId="4" fillId="3" borderId="0" xfId="0" applyFont="1" applyFill="1" applyAlignment="1">
      <alignment horizontal="center"/>
    </xf>
    <xf numFmtId="0" fontId="5" fillId="4" borderId="0" xfId="0" applyFont="1" applyFill="1" applyAlignment="1">
      <alignment horizontal="center"/>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m/d/yyyy"/>
    </dxf>
    <dxf>
      <numFmt numFmtId="2" formatCode="0.00"/>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sharedStrings" Target="sharedString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2.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[CAFE_PROJECT.xlsx]PIVOT_TABLE!PivotTable1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PIVOT_TABLE!$A$4:$A$6</c:f>
              <c:strCache>
                <c:ptCount val="2"/>
                <c:pt idx="0">
                  <c:v>NON-VEG</c:v>
                </c:pt>
                <c:pt idx="1">
                  <c:v>VEG</c:v>
                </c:pt>
              </c:strCache>
            </c:strRef>
          </c:cat>
          <c:val>
            <c:numRef>
              <c:f>PIVOT_TABLE!$B$4:$B$6</c:f>
              <c:numCache>
                <c:formatCode>General</c:formatCode>
                <c:ptCount val="2"/>
                <c:pt idx="0">
                  <c:v>9994.5</c:v>
                </c:pt>
                <c:pt idx="1">
                  <c:v>5850</c:v>
                </c:pt>
              </c:numCache>
            </c:numRef>
          </c:val>
          <c:extLst>
            <c:ext xmlns:c16="http://schemas.microsoft.com/office/drawing/2014/chart" uri="{C3380CC4-5D6E-409C-BE32-E72D297353CC}">
              <c16:uniqueId val="{00000000-FEF1-49F6-9E31-29A967217102}"/>
            </c:ext>
          </c:extLst>
        </c:ser>
        <c:dLbls>
          <c:dLblPos val="inEnd"/>
          <c:showLegendKey val="0"/>
          <c:showVal val="1"/>
          <c:showCatName val="0"/>
          <c:showSerName val="0"/>
          <c:showPercent val="0"/>
          <c:showBubbleSize val="0"/>
        </c:dLbls>
        <c:gapWidth val="100"/>
        <c:overlap val="-24"/>
        <c:axId val="139520160"/>
        <c:axId val="139528320"/>
      </c:barChart>
      <c:catAx>
        <c:axId val="139520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8320"/>
        <c:crosses val="autoZero"/>
        <c:auto val="1"/>
        <c:lblAlgn val="ctr"/>
        <c:lblOffset val="100"/>
        <c:noMultiLvlLbl val="0"/>
      </c:catAx>
      <c:valAx>
        <c:axId val="1395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[CAFE_PROJECT.xlsx]PIVOT_TABLE!PivotTable2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9982502187226"/>
          <c:y val="0.31168051910177896"/>
          <c:w val="0.74933573928258956"/>
          <c:h val="0.26118620589093028"/>
        </c:manualLayout>
      </c:layout>
      <c:barChart>
        <c:barDir val="col"/>
        <c:grouping val="clustered"/>
        <c:varyColors val="0"/>
        <c:ser>
          <c:idx val="0"/>
          <c:order val="0"/>
          <c:tx>
            <c:strRef>
              <c:f>PIVOT_TABLE!$B$19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PIVOT_TABLE!$A$20:$A$45</c:f>
              <c:strCache>
                <c:ptCount val="25"/>
                <c:pt idx="0">
                  <c:v>BUTTER CHICKEN MOMOS</c:v>
                </c:pt>
                <c:pt idx="1">
                  <c:v>CHICKEN CHEESE BALLS</c:v>
                </c:pt>
                <c:pt idx="2">
                  <c:v>CHICKEN CHEESE MOMOS</c:v>
                </c:pt>
                <c:pt idx="3">
                  <c:v>CHICKEN FINGERS</c:v>
                </c:pt>
                <c:pt idx="4">
                  <c:v>CHICKEN KURKURE MOMOS</c:v>
                </c:pt>
                <c:pt idx="5">
                  <c:v>CHICKEN LOLLIPOP</c:v>
                </c:pt>
                <c:pt idx="6">
                  <c:v>CHICKEN MOMOS</c:v>
                </c:pt>
                <c:pt idx="7">
                  <c:v>CHICKEN NUGGETS</c:v>
                </c:pt>
                <c:pt idx="8">
                  <c:v>CHICKEN PERI PERI MOMOS</c:v>
                </c:pt>
                <c:pt idx="9">
                  <c:v>CHICKEN POPCORN</c:v>
                </c:pt>
                <c:pt idx="10">
                  <c:v>CHICKEN TIKKA MOMOS</c:v>
                </c:pt>
                <c:pt idx="11">
                  <c:v>CORN &amp; CHEESE MOMOS</c:v>
                </c:pt>
                <c:pt idx="12">
                  <c:v>CORN MOMOS</c:v>
                </c:pt>
                <c:pt idx="13">
                  <c:v>FRENCH FRIES</c:v>
                </c:pt>
                <c:pt idx="14">
                  <c:v>MIXED-VEG MOMOS</c:v>
                </c:pt>
                <c:pt idx="15">
                  <c:v>PANEER MOMOS</c:v>
                </c:pt>
                <c:pt idx="16">
                  <c:v>PANEER TIKKA MOMOS</c:v>
                </c:pt>
                <c:pt idx="17">
                  <c:v>PERI-PERI FRENCH FRIES</c:v>
                </c:pt>
                <c:pt idx="18">
                  <c:v>POTATO CHEESE SHOTZ</c:v>
                </c:pt>
                <c:pt idx="19">
                  <c:v>SALTED-FRENCH FRIES</c:v>
                </c:pt>
                <c:pt idx="20">
                  <c:v>TANDOORI PANEER NUGGETS</c:v>
                </c:pt>
                <c:pt idx="21">
                  <c:v>VEG FINGERS</c:v>
                </c:pt>
                <c:pt idx="22">
                  <c:v>VEG-KURKURE MOMOS</c:v>
                </c:pt>
                <c:pt idx="23">
                  <c:v>VEG-NUGGETS</c:v>
                </c:pt>
                <c:pt idx="24">
                  <c:v>VEG-SCHEZWAN MOMOS</c:v>
                </c:pt>
              </c:strCache>
            </c:strRef>
          </c:cat>
          <c:val>
            <c:numRef>
              <c:f>PIVOT_TABLE!$B$20:$B$45</c:f>
              <c:numCache>
                <c:formatCode>General</c:formatCode>
                <c:ptCount val="25"/>
                <c:pt idx="0">
                  <c:v>550</c:v>
                </c:pt>
                <c:pt idx="1">
                  <c:v>616</c:v>
                </c:pt>
                <c:pt idx="2">
                  <c:v>2041.5</c:v>
                </c:pt>
                <c:pt idx="3">
                  <c:v>718.5</c:v>
                </c:pt>
                <c:pt idx="4">
                  <c:v>176</c:v>
                </c:pt>
                <c:pt idx="5">
                  <c:v>626</c:v>
                </c:pt>
                <c:pt idx="6">
                  <c:v>2235.5</c:v>
                </c:pt>
                <c:pt idx="7">
                  <c:v>831.5</c:v>
                </c:pt>
                <c:pt idx="8">
                  <c:v>760.5</c:v>
                </c:pt>
                <c:pt idx="9">
                  <c:v>1284</c:v>
                </c:pt>
                <c:pt idx="10">
                  <c:v>155</c:v>
                </c:pt>
                <c:pt idx="11">
                  <c:v>960.5</c:v>
                </c:pt>
                <c:pt idx="12">
                  <c:v>131.5</c:v>
                </c:pt>
                <c:pt idx="13">
                  <c:v>144.5</c:v>
                </c:pt>
                <c:pt idx="14">
                  <c:v>592</c:v>
                </c:pt>
                <c:pt idx="15">
                  <c:v>681</c:v>
                </c:pt>
                <c:pt idx="16">
                  <c:v>389.5</c:v>
                </c:pt>
                <c:pt idx="17">
                  <c:v>218.5</c:v>
                </c:pt>
                <c:pt idx="18">
                  <c:v>397.5</c:v>
                </c:pt>
                <c:pt idx="19">
                  <c:v>168.5</c:v>
                </c:pt>
                <c:pt idx="20">
                  <c:v>384.5</c:v>
                </c:pt>
                <c:pt idx="21">
                  <c:v>250</c:v>
                </c:pt>
                <c:pt idx="22">
                  <c:v>729</c:v>
                </c:pt>
                <c:pt idx="23">
                  <c:v>250</c:v>
                </c:pt>
                <c:pt idx="24">
                  <c:v>553</c:v>
                </c:pt>
              </c:numCache>
            </c:numRef>
          </c:val>
          <c:extLst>
            <c:ext xmlns:c16="http://schemas.microsoft.com/office/drawing/2014/chart" uri="{C3380CC4-5D6E-409C-BE32-E72D297353CC}">
              <c16:uniqueId val="{00000002-773E-4CE9-B10A-D53CD0DF2635}"/>
            </c:ext>
          </c:extLst>
        </c:ser>
        <c:dLbls>
          <c:showLegendKey val="0"/>
          <c:showVal val="0"/>
          <c:showCatName val="0"/>
          <c:showSerName val="0"/>
          <c:showPercent val="0"/>
          <c:showBubbleSize val="0"/>
        </c:dLbls>
        <c:gapWidth val="100"/>
        <c:overlap val="-24"/>
        <c:axId val="678945199"/>
        <c:axId val="678945679"/>
      </c:barChart>
      <c:catAx>
        <c:axId val="678945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45679"/>
        <c:crosses val="autoZero"/>
        <c:auto val="1"/>
        <c:lblAlgn val="ctr"/>
        <c:lblOffset val="100"/>
        <c:noMultiLvlLbl val="0"/>
      </c:catAx>
      <c:valAx>
        <c:axId val="67894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4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[CAFE_PROJECT.xlsx]PIVOT_TABLE!PivotTable1</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PIVOT_TABLE!$A$4:$A$6</c:f>
              <c:strCache>
                <c:ptCount val="2"/>
                <c:pt idx="0">
                  <c:v>NON-VEG</c:v>
                </c:pt>
                <c:pt idx="1">
                  <c:v>VEG</c:v>
                </c:pt>
              </c:strCache>
            </c:strRef>
          </c:cat>
          <c:val>
            <c:numRef>
              <c:f>PIVOT_TABLE!$B$4:$B$6</c:f>
              <c:numCache>
                <c:formatCode>General</c:formatCode>
                <c:ptCount val="2"/>
                <c:pt idx="0">
                  <c:v>9994.5</c:v>
                </c:pt>
                <c:pt idx="1">
                  <c:v>5850</c:v>
                </c:pt>
              </c:numCache>
            </c:numRef>
          </c:val>
          <c:extLst>
            <c:ext xmlns:c16="http://schemas.microsoft.com/office/drawing/2014/chart" uri="{C3380CC4-5D6E-409C-BE32-E72D297353CC}">
              <c16:uniqueId val="{00000000-0C13-4F1A-8DDE-DB1596179C55}"/>
            </c:ext>
          </c:extLst>
        </c:ser>
        <c:dLbls>
          <c:dLblPos val="inEnd"/>
          <c:showLegendKey val="0"/>
          <c:showVal val="1"/>
          <c:showCatName val="0"/>
          <c:showSerName val="0"/>
          <c:showPercent val="0"/>
          <c:showBubbleSize val="0"/>
        </c:dLbls>
        <c:gapWidth val="100"/>
        <c:overlap val="-24"/>
        <c:axId val="139520160"/>
        <c:axId val="139528320"/>
      </c:barChart>
      <c:catAx>
        <c:axId val="139520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8320"/>
        <c:crosses val="autoZero"/>
        <c:auto val="1"/>
        <c:lblAlgn val="ctr"/>
        <c:lblOffset val="100"/>
        <c:noMultiLvlLbl val="0"/>
      </c:catAx>
      <c:valAx>
        <c:axId val="1395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[CAFE_PROJECT.xlsx]PIVOT_TABLE!PivotTable2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9982502187226"/>
          <c:y val="0.31168051910177896"/>
          <c:w val="0.74933573928258956"/>
          <c:h val="0.26118620589093028"/>
        </c:manualLayout>
      </c:layout>
      <c:barChart>
        <c:barDir val="col"/>
        <c:grouping val="clustered"/>
        <c:varyColors val="0"/>
        <c:ser>
          <c:idx val="0"/>
          <c:order val="0"/>
          <c:tx>
            <c:strRef>
              <c:f>PIVOT_TABLE!$B$19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PIVOT_TABLE!$A$20:$A$45</c:f>
              <c:strCache>
                <c:ptCount val="25"/>
                <c:pt idx="0">
                  <c:v>BUTTER CHICKEN MOMOS</c:v>
                </c:pt>
                <c:pt idx="1">
                  <c:v>CHICKEN CHEESE BALLS</c:v>
                </c:pt>
                <c:pt idx="2">
                  <c:v>CHICKEN CHEESE MOMOS</c:v>
                </c:pt>
                <c:pt idx="3">
                  <c:v>CHICKEN FINGERS</c:v>
                </c:pt>
                <c:pt idx="4">
                  <c:v>CHICKEN KURKURE MOMOS</c:v>
                </c:pt>
                <c:pt idx="5">
                  <c:v>CHICKEN LOLLIPOP</c:v>
                </c:pt>
                <c:pt idx="6">
                  <c:v>CHICKEN MOMOS</c:v>
                </c:pt>
                <c:pt idx="7">
                  <c:v>CHICKEN NUGGETS</c:v>
                </c:pt>
                <c:pt idx="8">
                  <c:v>CHICKEN PERI PERI MOMOS</c:v>
                </c:pt>
                <c:pt idx="9">
                  <c:v>CHICKEN POPCORN</c:v>
                </c:pt>
                <c:pt idx="10">
                  <c:v>CHICKEN TIKKA MOMOS</c:v>
                </c:pt>
                <c:pt idx="11">
                  <c:v>CORN &amp; CHEESE MOMOS</c:v>
                </c:pt>
                <c:pt idx="12">
                  <c:v>CORN MOMOS</c:v>
                </c:pt>
                <c:pt idx="13">
                  <c:v>FRENCH FRIES</c:v>
                </c:pt>
                <c:pt idx="14">
                  <c:v>MIXED-VEG MOMOS</c:v>
                </c:pt>
                <c:pt idx="15">
                  <c:v>PANEER MOMOS</c:v>
                </c:pt>
                <c:pt idx="16">
                  <c:v>PANEER TIKKA MOMOS</c:v>
                </c:pt>
                <c:pt idx="17">
                  <c:v>PERI-PERI FRENCH FRIES</c:v>
                </c:pt>
                <c:pt idx="18">
                  <c:v>POTATO CHEESE SHOTZ</c:v>
                </c:pt>
                <c:pt idx="19">
                  <c:v>SALTED-FRENCH FRIES</c:v>
                </c:pt>
                <c:pt idx="20">
                  <c:v>TANDOORI PANEER NUGGETS</c:v>
                </c:pt>
                <c:pt idx="21">
                  <c:v>VEG FINGERS</c:v>
                </c:pt>
                <c:pt idx="22">
                  <c:v>VEG-KURKURE MOMOS</c:v>
                </c:pt>
                <c:pt idx="23">
                  <c:v>VEG-NUGGETS</c:v>
                </c:pt>
                <c:pt idx="24">
                  <c:v>VEG-SCHEZWAN MOMOS</c:v>
                </c:pt>
              </c:strCache>
            </c:strRef>
          </c:cat>
          <c:val>
            <c:numRef>
              <c:f>PIVOT_TABLE!$B$20:$B$45</c:f>
              <c:numCache>
                <c:formatCode>General</c:formatCode>
                <c:ptCount val="25"/>
                <c:pt idx="0">
                  <c:v>550</c:v>
                </c:pt>
                <c:pt idx="1">
                  <c:v>616</c:v>
                </c:pt>
                <c:pt idx="2">
                  <c:v>2041.5</c:v>
                </c:pt>
                <c:pt idx="3">
                  <c:v>718.5</c:v>
                </c:pt>
                <c:pt idx="4">
                  <c:v>176</c:v>
                </c:pt>
                <c:pt idx="5">
                  <c:v>626</c:v>
                </c:pt>
                <c:pt idx="6">
                  <c:v>2235.5</c:v>
                </c:pt>
                <c:pt idx="7">
                  <c:v>831.5</c:v>
                </c:pt>
                <c:pt idx="8">
                  <c:v>760.5</c:v>
                </c:pt>
                <c:pt idx="9">
                  <c:v>1284</c:v>
                </c:pt>
                <c:pt idx="10">
                  <c:v>155</c:v>
                </c:pt>
                <c:pt idx="11">
                  <c:v>960.5</c:v>
                </c:pt>
                <c:pt idx="12">
                  <c:v>131.5</c:v>
                </c:pt>
                <c:pt idx="13">
                  <c:v>144.5</c:v>
                </c:pt>
                <c:pt idx="14">
                  <c:v>592</c:v>
                </c:pt>
                <c:pt idx="15">
                  <c:v>681</c:v>
                </c:pt>
                <c:pt idx="16">
                  <c:v>389.5</c:v>
                </c:pt>
                <c:pt idx="17">
                  <c:v>218.5</c:v>
                </c:pt>
                <c:pt idx="18">
                  <c:v>397.5</c:v>
                </c:pt>
                <c:pt idx="19">
                  <c:v>168.5</c:v>
                </c:pt>
                <c:pt idx="20">
                  <c:v>384.5</c:v>
                </c:pt>
                <c:pt idx="21">
                  <c:v>250</c:v>
                </c:pt>
                <c:pt idx="22">
                  <c:v>729</c:v>
                </c:pt>
                <c:pt idx="23">
                  <c:v>250</c:v>
                </c:pt>
                <c:pt idx="24">
                  <c:v>553</c:v>
                </c:pt>
              </c:numCache>
            </c:numRef>
          </c:val>
          <c:extLst>
            <c:ext xmlns:c16="http://schemas.microsoft.com/office/drawing/2014/chart" uri="{C3380CC4-5D6E-409C-BE32-E72D297353CC}">
              <c16:uniqueId val="{00000000-88EB-40F1-8DA7-7C9A76326692}"/>
            </c:ext>
          </c:extLst>
        </c:ser>
        <c:dLbls>
          <c:showLegendKey val="0"/>
          <c:showVal val="0"/>
          <c:showCatName val="0"/>
          <c:showSerName val="0"/>
          <c:showPercent val="0"/>
          <c:showBubbleSize val="0"/>
        </c:dLbls>
        <c:gapWidth val="100"/>
        <c:overlap val="-24"/>
        <c:axId val="678945199"/>
        <c:axId val="678945679"/>
      </c:barChart>
      <c:catAx>
        <c:axId val="678945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45679"/>
        <c:crosses val="autoZero"/>
        <c:auto val="1"/>
        <c:lblAlgn val="ctr"/>
        <c:lblOffset val="100"/>
        <c:noMultiLvlLbl val="0"/>
      </c:catAx>
      <c:valAx>
        <c:axId val="67894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4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76200</xdr:colOff>
      <xdr:row>1</xdr:row>
      <xdr:rowOff>180975</xdr:rowOff>
    </xdr:from>
    <xdr:to>
      <xdr:col>9</xdr:col>
      <xdr:colOff>226060</xdr:colOff>
      <xdr:row>13</xdr:row>
      <xdr:rowOff>180976</xdr:rowOff>
    </xdr:to>
    <xdr:graphicFrame macro="">
      <xdr:nvGraphicFramePr>
        <xdr:cNvPr id="2" name="Chart 1">
          <a:extLst>
            <a:ext uri="{FF2B5EF4-FFF2-40B4-BE49-F238E27FC236}">
              <a16:creationId xmlns:a16="http://schemas.microsoft.com/office/drawing/2014/main" id="{2D00D662-9FAF-2E8E-0862-D65AABD7E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142874</xdr:colOff>
      <xdr:row>17</xdr:row>
      <xdr:rowOff>23812</xdr:rowOff>
    </xdr:from>
    <xdr:to>
      <xdr:col>9</xdr:col>
      <xdr:colOff>247649</xdr:colOff>
      <xdr:row>31</xdr:row>
      <xdr:rowOff>100012</xdr:rowOff>
    </xdr:to>
    <xdr:graphicFrame macro="">
      <xdr:nvGraphicFramePr>
        <xdr:cNvPr id="3" name="Chart 2">
          <a:extLst>
            <a:ext uri="{FF2B5EF4-FFF2-40B4-BE49-F238E27FC236}">
              <a16:creationId xmlns:a16="http://schemas.microsoft.com/office/drawing/2014/main" id="{05CE7E5D-8ADB-8657-E747-7EA832A05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200025</xdr:colOff>
      <xdr:row>1</xdr:row>
      <xdr:rowOff>57150</xdr:rowOff>
    </xdr:from>
    <xdr:to>
      <xdr:col>10</xdr:col>
      <xdr:colOff>159385</xdr:colOff>
      <xdr:row>13</xdr:row>
      <xdr:rowOff>57151</xdr:rowOff>
    </xdr:to>
    <xdr:graphicFrame macro="">
      <xdr:nvGraphicFramePr>
        <xdr:cNvPr id="4" name="Chart 3">
          <a:extLst>
            <a:ext uri="{FF2B5EF4-FFF2-40B4-BE49-F238E27FC236}">
              <a16:creationId xmlns:a16="http://schemas.microsoft.com/office/drawing/2014/main" id="{F868A749-346E-409C-A4A4-B6DAB3606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209549</xdr:colOff>
      <xdr:row>13</xdr:row>
      <xdr:rowOff>119062</xdr:rowOff>
    </xdr:from>
    <xdr:to>
      <xdr:col>10</xdr:col>
      <xdr:colOff>123824</xdr:colOff>
      <xdr:row>28</xdr:row>
      <xdr:rowOff>4762</xdr:rowOff>
    </xdr:to>
    <xdr:graphicFrame macro="">
      <xdr:nvGraphicFramePr>
        <xdr:cNvPr id="5" name="Chart 4">
          <a:extLst>
            <a:ext uri="{FF2B5EF4-FFF2-40B4-BE49-F238E27FC236}">
              <a16:creationId xmlns:a16="http://schemas.microsoft.com/office/drawing/2014/main" id="{86891462-4CD6-48D5-9CC9-B89DC19F6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581025</xdr:colOff>
      <xdr:row>1</xdr:row>
      <xdr:rowOff>152400</xdr:rowOff>
    </xdr:from>
    <xdr:to>
      <xdr:col>16</xdr:col>
      <xdr:colOff>485775</xdr:colOff>
      <xdr:row>13</xdr:row>
      <xdr:rowOff>85725</xdr:rowOff>
    </xdr:to>
    <mc:AlternateContent xmlns:mc="http://schemas.openxmlformats.org/markup-compatibility/2006">
      <mc:Choice xmlns:a14="http://schemas.microsoft.com/office/drawing/2010/main" Requires="a14">
        <xdr:graphicFrame macro="">
          <xdr:nvGraphicFramePr>
            <xdr:cNvPr id="6" name="product_name">
              <a:extLst>
                <a:ext uri="{FF2B5EF4-FFF2-40B4-BE49-F238E27FC236}">
                  <a16:creationId xmlns:a16="http://schemas.microsoft.com/office/drawing/2014/main" id="{487DF904-D0F5-5F9F-4FAE-C89BFA66ACF6}"/>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9496425" y="419100"/>
              <a:ext cx="1733550" cy="2219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504825</xdr:colOff>
      <xdr:row>1</xdr:row>
      <xdr:rowOff>142876</xdr:rowOff>
    </xdr:from>
    <xdr:to>
      <xdr:col>13</xdr:col>
      <xdr:colOff>504825</xdr:colOff>
      <xdr:row>13</xdr:row>
      <xdr:rowOff>85726</xdr:rowOff>
    </xdr:to>
    <mc:AlternateContent xmlns:mc="http://schemas.openxmlformats.org/markup-compatibility/2006">
      <mc:Choice xmlns:a14="http://schemas.microsoft.com/office/drawing/2010/main" Requires="a14">
        <xdr:graphicFrame macro="">
          <xdr:nvGraphicFramePr>
            <xdr:cNvPr id="7" name="tabl_product.category">
              <a:extLst>
                <a:ext uri="{FF2B5EF4-FFF2-40B4-BE49-F238E27FC236}">
                  <a16:creationId xmlns:a16="http://schemas.microsoft.com/office/drawing/2014/main" id="{79A6A290-B8C3-4E84-161A-47F511BB7044}"/>
                </a:ext>
              </a:extLst>
            </xdr:cNvPr>
            <xdr:cNvGraphicFramePr/>
          </xdr:nvGraphicFramePr>
          <xdr:xfrm>
            <a:off x="0" y="0"/>
            <a:ext cx="0" cy="0"/>
          </xdr:xfrm>
          <a:graphic>
            <a:graphicData uri="http://schemas.microsoft.com/office/drawing/2010/slicer">
              <sle:slicer xmlns:sle="http://schemas.microsoft.com/office/drawing/2010/slicer" name="tabl_product.category"/>
            </a:graphicData>
          </a:graphic>
        </xdr:graphicFrame>
      </mc:Choice>
      <mc:Fallback>
        <xdr:sp macro="" textlink="">
          <xdr:nvSpPr>
            <xdr:cNvPr id="0" name=""/>
            <xdr:cNvSpPr>
              <a:spLocks noTextEdit="1"/>
            </xdr:cNvSpPr>
          </xdr:nvSpPr>
          <xdr:spPr>
            <a:xfrm>
              <a:off x="7591425" y="409576"/>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14</xdr:row>
      <xdr:rowOff>28575</xdr:rowOff>
    </xdr:from>
    <xdr:to>
      <xdr:col>20</xdr:col>
      <xdr:colOff>57150</xdr:colOff>
      <xdr:row>27</xdr:row>
      <xdr:rowOff>76200</xdr:rowOff>
    </xdr:to>
    <mc:AlternateContent xmlns:mc="http://schemas.openxmlformats.org/markup-compatibility/2006">
      <mc:Choice xmlns:a14="http://schemas.microsoft.com/office/drawing/2010/main" Requires="a14">
        <xdr:graphicFrame macro="">
          <xdr:nvGraphicFramePr>
            <xdr:cNvPr id="8" name="product_ID">
              <a:extLst>
                <a:ext uri="{FF2B5EF4-FFF2-40B4-BE49-F238E27FC236}">
                  <a16:creationId xmlns:a16="http://schemas.microsoft.com/office/drawing/2014/main" id="{8C4E3BC7-7474-5397-9475-5004B8B9430E}"/>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11410950" y="2771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14</xdr:row>
      <xdr:rowOff>28575</xdr:rowOff>
    </xdr:from>
    <xdr:to>
      <xdr:col>16</xdr:col>
      <xdr:colOff>514350</xdr:colOff>
      <xdr:row>27</xdr:row>
      <xdr:rowOff>76200</xdr:rowOff>
    </xdr:to>
    <mc:AlternateContent xmlns:mc="http://schemas.openxmlformats.org/markup-compatibility/2006">
      <mc:Choice xmlns:a14="http://schemas.microsoft.com/office/drawing/2010/main" Requires="a14">
        <xdr:graphicFrame macro="">
          <xdr:nvGraphicFramePr>
            <xdr:cNvPr id="9" name="product_name 1">
              <a:extLst>
                <a:ext uri="{FF2B5EF4-FFF2-40B4-BE49-F238E27FC236}">
                  <a16:creationId xmlns:a16="http://schemas.microsoft.com/office/drawing/2014/main" id="{C69CE155-BAC6-A75E-7767-4134C1F24A8E}"/>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9486900" y="2771775"/>
              <a:ext cx="17716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542925</xdr:colOff>
      <xdr:row>14</xdr:row>
      <xdr:rowOff>76200</xdr:rowOff>
    </xdr:from>
    <xdr:to>
      <xdr:col>13</xdr:col>
      <xdr:colOff>466725</xdr:colOff>
      <xdr:row>26</xdr:row>
      <xdr:rowOff>47625</xdr:rowOff>
    </xdr:to>
    <mc:AlternateContent xmlns:mc="http://schemas.openxmlformats.org/markup-compatibility/2006">
      <mc:Choice xmlns:a14="http://schemas.microsoft.com/office/drawing/2010/main" Requires="a14">
        <xdr:graphicFrame macro="">
          <xdr:nvGraphicFramePr>
            <xdr:cNvPr id="10" name="tabl_product.category 1">
              <a:extLst>
                <a:ext uri="{FF2B5EF4-FFF2-40B4-BE49-F238E27FC236}">
                  <a16:creationId xmlns:a16="http://schemas.microsoft.com/office/drawing/2014/main" id="{7B982468-AE62-48DA-CAF1-AEBEE53A40C6}"/>
                </a:ext>
              </a:extLst>
            </xdr:cNvPr>
            <xdr:cNvGraphicFramePr/>
          </xdr:nvGraphicFramePr>
          <xdr:xfrm>
            <a:off x="0" y="0"/>
            <a:ext cx="0" cy="0"/>
          </xdr:xfrm>
          <a:graphic>
            <a:graphicData uri="http://schemas.microsoft.com/office/drawing/2010/slicer">
              <sle:slicer xmlns:sle="http://schemas.microsoft.com/office/drawing/2010/slicer" name="tabl_product.category 1"/>
            </a:graphicData>
          </a:graphic>
        </xdr:graphicFrame>
      </mc:Choice>
      <mc:Fallback>
        <xdr:sp macro="" textlink="">
          <xdr:nvSpPr>
            <xdr:cNvPr id="0" name=""/>
            <xdr:cNvSpPr>
              <a:spLocks noTextEdit="1"/>
            </xdr:cNvSpPr>
          </xdr:nvSpPr>
          <xdr:spPr>
            <a:xfrm>
              <a:off x="7629525" y="2819400"/>
              <a:ext cx="1752600"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xdr:row>
      <xdr:rowOff>171450</xdr:rowOff>
    </xdr:from>
    <xdr:to>
      <xdr:col>20</xdr:col>
      <xdr:colOff>38100</xdr:colOff>
      <xdr:row>13</xdr:row>
      <xdr:rowOff>66674</xdr:rowOff>
    </xdr:to>
    <mc:AlternateContent xmlns:mc="http://schemas.openxmlformats.org/markup-compatibility/2006">
      <mc:Choice xmlns:a14="http://schemas.microsoft.com/office/drawing/2010/main" Requires="a14">
        <xdr:graphicFrame macro="">
          <xdr:nvGraphicFramePr>
            <xdr:cNvPr id="12" name="order_date">
              <a:extLst>
                <a:ext uri="{FF2B5EF4-FFF2-40B4-BE49-F238E27FC236}">
                  <a16:creationId xmlns:a16="http://schemas.microsoft.com/office/drawing/2014/main" id="{03F56248-9F65-4B5D-A051-FC44AEFB28B7}"/>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1353800" y="438150"/>
              <a:ext cx="1866900" cy="218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171.541434837964" createdVersion="8" refreshedVersion="8" minRefreshableVersion="3" recordCount="65" xr:uid="{9FBD720C-7750-4AF7-BB8A-4D587600576B}">
  <cacheSource type="worksheet">
    <worksheetSource name="tabl_orders"/>
  </cacheSource>
  <cacheFields count="13">
    <cacheField name="Order_ID" numFmtId="0">
      <sharedItems containsSemiMixedTypes="0" containsString="0" containsNumber="1" containsInteger="1" minValue="318778" maxValue="333054" count="65">
        <n v="318778"/>
        <n v="324493"/>
        <n v="324996"/>
        <n v="325137"/>
        <n v="325481"/>
        <n v="321991"/>
        <n v="318836"/>
        <n v="324329"/>
        <n v="321207"/>
        <n v="321436"/>
        <n v="321570"/>
        <n v="323978"/>
        <n v="324147"/>
        <n v="321893"/>
        <n v="322084"/>
        <n v="323182"/>
        <n v="322268"/>
        <n v="322503"/>
        <n v="322722"/>
        <n v="323894"/>
        <n v="323084"/>
        <n v="324793"/>
        <n v="324184"/>
        <n v="324997"/>
        <n v="325280"/>
        <n v="324804"/>
        <n v="325701"/>
        <n v="325779"/>
        <n v="325892"/>
        <n v="325900"/>
        <n v="326228"/>
        <n v="326792"/>
        <n v="326837"/>
        <n v="327211"/>
        <n v="327332"/>
        <n v="327527"/>
        <n v="327625"/>
        <n v="327972"/>
        <n v="328099"/>
        <n v="328498"/>
        <n v="328603"/>
        <n v="328687"/>
        <n v="328840"/>
        <n v="329313"/>
        <n v="329320"/>
        <n v="329343"/>
        <n v="329526"/>
        <n v="329689"/>
        <n v="329701"/>
        <n v="329928"/>
        <n v="330608"/>
        <n v="330930"/>
        <n v="331174"/>
        <n v="331215"/>
        <n v="331336"/>
        <n v="331344"/>
        <n v="331400"/>
        <n v="331422"/>
        <n v="331449"/>
        <n v="331467"/>
        <n v="331714"/>
        <n v="331805"/>
        <n v="332706"/>
        <n v="333047"/>
        <n v="333054"/>
      </sharedItems>
    </cacheField>
    <cacheField name="order_date" numFmtId="14">
      <sharedItems containsSemiMixedTypes="0" containsNonDate="0" containsDate="1" containsString="0" minDate="2026-03-01T00:00:00" maxDate="2026-05-27T00:00:00" count="45">
        <d v="2026-03-01T00:00:00"/>
        <d v="2026-04-06T00:00:00"/>
        <d v="2026-04-09T00:00:00"/>
        <d v="2026-04-10T00:00:00"/>
        <d v="2026-04-12T00:00:00"/>
        <d v="2026-03-22T00:00:00"/>
        <d v="2026-04-05T00:00:00"/>
        <d v="2026-03-17T00:00:00"/>
        <d v="2026-03-18T00:00:00"/>
        <d v="2026-03-19T00:00:00"/>
        <d v="2026-04-03T00:00:00"/>
        <d v="2026-04-04T00:00:00"/>
        <d v="2026-03-21T00:00:00"/>
        <d v="2026-03-29T00:00:00"/>
        <d v="2026-03-24T00:00:00"/>
        <d v="2026-03-25T00:00:00"/>
        <d v="2026-03-27T00:00:00"/>
        <d v="2026-04-08T00:00:00"/>
        <d v="2026-04-11T00:00:00"/>
        <d v="2026-04-14T00:00:00"/>
        <d v="2026-04-15T00:00:00"/>
        <d v="2026-04-17T00:00:00"/>
        <d v="2026-04-20T00:00:00"/>
        <d v="2026-04-22T00:00:00"/>
        <d v="2026-04-23T00:00:00"/>
        <d v="2026-04-24T00:00:00"/>
        <d v="2026-04-25T00:00:00"/>
        <d v="2026-04-27T00:00:00"/>
        <d v="2026-04-28T00:00:00"/>
        <d v="2026-04-30T00:00:00"/>
        <d v="2026-05-01T00:00:00"/>
        <d v="2026-05-02T00:00:00"/>
        <d v="2026-05-04T00:00:00"/>
        <d v="2026-05-05T00:00:00"/>
        <d v="2026-05-06T00:00:00"/>
        <d v="2026-05-07T00:00:00"/>
        <d v="2026-05-11T00:00:00"/>
        <d v="2026-05-13T00:00:00"/>
        <d v="2026-05-14T00:00:00"/>
        <d v="2026-05-15T00:00:00"/>
        <d v="2026-05-16T00:00:00"/>
        <d v="2026-05-17T00:00:00"/>
        <d v="2026-05-18T00:00:00"/>
        <d v="2026-05-24T00:00:00"/>
        <d v="2026-05-26T00:00:00"/>
      </sharedItems>
    </cacheField>
    <cacheField name="product_ID" numFmtId="0">
      <sharedItems count="25">
        <s v="V201"/>
        <s v="V101"/>
        <s v="V208"/>
        <s v="V102"/>
        <s v="V107"/>
        <s v="V110"/>
        <s v="V212"/>
        <s v="V105"/>
        <s v="V204"/>
        <s v="V106"/>
        <s v="V108"/>
        <s v="V210"/>
        <s v="V109"/>
        <s v="V113"/>
        <s v="V111"/>
        <s v="V209"/>
        <s v="V114"/>
        <s v="V202"/>
        <s v="V203"/>
        <s v="V205"/>
        <s v="V211"/>
        <s v="V207"/>
        <s v="V103"/>
        <s v="V104"/>
        <s v="V112"/>
      </sharedItems>
    </cacheField>
    <cacheField name="product_name" numFmtId="0">
      <sharedItems count="25">
        <s v="CHICKEN MOMOS"/>
        <s v="CORN MOMOS"/>
        <s v="CHICKEN NUGGETS"/>
        <s v="CORN &amp; CHEESE MOMOS"/>
        <s v="VEG-KURKURE MOMOS"/>
        <s v="VEG FINGERS"/>
        <s v="CHICKEN LOLLIPOP"/>
        <s v="PANEER MOMOS"/>
        <s v="CHICKEN TIKKA MOMOS"/>
        <s v="PANEER TIKKA MOMOS"/>
        <s v="VEG-NUGGETS"/>
        <s v="CHICKEN CHEESE BALLS"/>
        <s v="POTATO CHEESE SHOTZ"/>
        <s v="SALTED-FRENCH FRIES"/>
        <s v="TANDOORI PANEER NUGGETS"/>
        <s v="CHICKEN FINGERS"/>
        <s v="PERI-PERI FRENCH FRIES"/>
        <s v="CHICKEN CHEESE MOMOS"/>
        <s v="BUTTER CHICKEN MOMOS"/>
        <s v="CHICKEN PERI PERI MOMOS"/>
        <s v="CHICKEN POPCORN"/>
        <s v="CHICKEN KURKURE MOMOS"/>
        <s v="MIXED-VEG MOMOS"/>
        <s v="VEG-SCHEZWAN MOMOS"/>
        <s v="FRENCH FRIES"/>
      </sharedItems>
    </cacheField>
    <cacheField name="Quantity" numFmtId="0">
      <sharedItems containsSemiMixedTypes="0" containsString="0" containsNumber="1" containsInteger="1" minValue="1" maxValue="4"/>
    </cacheField>
    <cacheField name=" Price" numFmtId="0">
      <sharedItems containsSemiMixedTypes="0" containsString="0" containsNumber="1" containsInteger="1" minValue="90" maxValue="500"/>
    </cacheField>
    <cacheField name="Discount" numFmtId="0">
      <sharedItems containsSemiMixedTypes="0" containsString="0" containsNumber="1" containsInteger="1" minValue="0" maxValue="0"/>
    </cacheField>
    <cacheField name="Amount Afte Discount" numFmtId="0">
      <sharedItems containsSemiMixedTypes="0" containsString="0" containsNumber="1" containsInteger="1" minValue="90" maxValue="500"/>
    </cacheField>
    <cacheField name="GST" numFmtId="0">
      <sharedItems containsSemiMixedTypes="0" containsString="0" containsNumber="1" minValue="4.5" maxValue="25"/>
    </cacheField>
    <cacheField name="Delivery Charges" numFmtId="0">
      <sharedItems containsSemiMixedTypes="0" containsString="0" containsNumber="1" containsInteger="1" minValue="9" maxValue="53"/>
    </cacheField>
    <cacheField name="Total Received Amount" numFmtId="0">
      <sharedItems containsSemiMixedTypes="0" containsString="0" containsNumber="1" minValue="131.5" maxValue="550"/>
    </cacheField>
    <cacheField name="Delivery_status" numFmtId="0">
      <sharedItems/>
    </cacheField>
    <cacheField name="tabl_product.category" numFmtId="0">
      <sharedItems count="2">
        <s v="NON-VEG"/>
        <s v="VEG"/>
      </sharedItems>
    </cacheField>
  </cacheFields>
  <extLst>
    <ext xmlns:x14="http://schemas.microsoft.com/office/spreadsheetml/2009/9/main" uri="{725AE2AE-9491-48be-B2B4-4EB974FC3084}">
      <x14:pivotCacheDefinition pivotCacheId="518746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x v="0"/>
    <x v="0"/>
    <x v="0"/>
    <n v="1"/>
    <n v="120"/>
    <n v="0"/>
    <n v="120"/>
    <n v="6"/>
    <n v="29"/>
    <n v="155"/>
    <s v="SUCCESS"/>
    <x v="0"/>
  </r>
  <r>
    <x v="1"/>
    <x v="1"/>
    <x v="0"/>
    <x v="0"/>
    <n v="3"/>
    <n v="320"/>
    <n v="0"/>
    <n v="320"/>
    <n v="16"/>
    <n v="17"/>
    <n v="353"/>
    <s v="SUCCESS"/>
    <x v="0"/>
  </r>
  <r>
    <x v="2"/>
    <x v="2"/>
    <x v="0"/>
    <x v="0"/>
    <n v="1"/>
    <n v="110"/>
    <n v="0"/>
    <n v="110"/>
    <n v="5.5"/>
    <n v="37"/>
    <n v="152.5"/>
    <s v="SUCCESS"/>
    <x v="0"/>
  </r>
  <r>
    <x v="3"/>
    <x v="3"/>
    <x v="0"/>
    <x v="0"/>
    <n v="1"/>
    <n v="110"/>
    <n v="0"/>
    <n v="110"/>
    <n v="5.5"/>
    <n v="37"/>
    <n v="152.5"/>
    <s v="SUCCESS"/>
    <x v="0"/>
  </r>
  <r>
    <x v="4"/>
    <x v="4"/>
    <x v="0"/>
    <x v="0"/>
    <n v="2"/>
    <n v="220"/>
    <n v="0"/>
    <n v="220"/>
    <n v="11"/>
    <n v="19"/>
    <n v="250"/>
    <s v="SUCCESS"/>
    <x v="0"/>
  </r>
  <r>
    <x v="5"/>
    <x v="5"/>
    <x v="1"/>
    <x v="1"/>
    <n v="1"/>
    <n v="90"/>
    <n v="0"/>
    <n v="90"/>
    <n v="4.5"/>
    <n v="37"/>
    <n v="131.5"/>
    <s v="SUCCESS"/>
    <x v="1"/>
  </r>
  <r>
    <x v="6"/>
    <x v="0"/>
    <x v="2"/>
    <x v="2"/>
    <n v="2"/>
    <n v="250"/>
    <n v="0"/>
    <n v="250"/>
    <n v="12.5"/>
    <n v="19"/>
    <n v="281.5"/>
    <s v="SUCCESS"/>
    <x v="0"/>
  </r>
  <r>
    <x v="7"/>
    <x v="6"/>
    <x v="3"/>
    <x v="3"/>
    <n v="1"/>
    <n v="90"/>
    <n v="0"/>
    <n v="90"/>
    <n v="4.5"/>
    <n v="37"/>
    <n v="131.5"/>
    <s v="SUCCESS"/>
    <x v="1"/>
  </r>
  <r>
    <x v="8"/>
    <x v="7"/>
    <x v="4"/>
    <x v="4"/>
    <n v="2"/>
    <n v="240"/>
    <n v="0"/>
    <n v="240"/>
    <n v="12"/>
    <n v="19"/>
    <n v="271"/>
    <s v="SUCCESS"/>
    <x v="1"/>
  </r>
  <r>
    <x v="9"/>
    <x v="8"/>
    <x v="5"/>
    <x v="5"/>
    <n v="1"/>
    <n v="220"/>
    <n v="0"/>
    <n v="220"/>
    <n v="11"/>
    <n v="19"/>
    <n v="250"/>
    <s v="SUCCESS"/>
    <x v="1"/>
  </r>
  <r>
    <x v="10"/>
    <x v="9"/>
    <x v="6"/>
    <x v="6"/>
    <n v="2"/>
    <n v="280"/>
    <n v="0"/>
    <n v="280"/>
    <n v="14"/>
    <n v="19"/>
    <n v="313"/>
    <s v="SUCCESS"/>
    <x v="0"/>
  </r>
  <r>
    <x v="11"/>
    <x v="10"/>
    <x v="6"/>
    <x v="6"/>
    <n v="2"/>
    <n v="280"/>
    <n v="0"/>
    <n v="280"/>
    <n v="14"/>
    <n v="19"/>
    <n v="313"/>
    <s v="SUCCESS"/>
    <x v="0"/>
  </r>
  <r>
    <x v="12"/>
    <x v="11"/>
    <x v="7"/>
    <x v="7"/>
    <n v="1"/>
    <n v="100"/>
    <n v="0"/>
    <n v="100"/>
    <n v="5"/>
    <n v="29"/>
    <n v="134"/>
    <s v="SUCCESS"/>
    <x v="1"/>
  </r>
  <r>
    <x v="13"/>
    <x v="12"/>
    <x v="8"/>
    <x v="8"/>
    <n v="1"/>
    <n v="120"/>
    <n v="0"/>
    <n v="120"/>
    <n v="6"/>
    <n v="29"/>
    <n v="155"/>
    <s v="SUCCESS"/>
    <x v="0"/>
  </r>
  <r>
    <x v="14"/>
    <x v="5"/>
    <x v="9"/>
    <x v="9"/>
    <n v="2"/>
    <n v="200"/>
    <n v="0"/>
    <n v="200"/>
    <n v="10"/>
    <n v="27"/>
    <n v="237"/>
    <s v="SUCCESS"/>
    <x v="1"/>
  </r>
  <r>
    <x v="15"/>
    <x v="13"/>
    <x v="10"/>
    <x v="10"/>
    <n v="2"/>
    <n v="220"/>
    <n v="0"/>
    <n v="220"/>
    <n v="11"/>
    <n v="19"/>
    <n v="250"/>
    <s v="SUCCESS"/>
    <x v="1"/>
  </r>
  <r>
    <x v="16"/>
    <x v="14"/>
    <x v="11"/>
    <x v="11"/>
    <n v="3"/>
    <n v="320"/>
    <n v="0"/>
    <n v="320"/>
    <n v="16"/>
    <n v="9"/>
    <n v="345"/>
    <s v="SUCCESS"/>
    <x v="0"/>
  </r>
  <r>
    <x v="17"/>
    <x v="15"/>
    <x v="12"/>
    <x v="12"/>
    <n v="3"/>
    <n v="370"/>
    <n v="0"/>
    <n v="370"/>
    <n v="18.5"/>
    <n v="9"/>
    <n v="397.5"/>
    <s v="SUCCESS"/>
    <x v="1"/>
  </r>
  <r>
    <x v="18"/>
    <x v="16"/>
    <x v="13"/>
    <x v="13"/>
    <n v="1"/>
    <n v="110"/>
    <n v="0"/>
    <n v="110"/>
    <n v="5.5"/>
    <n v="53"/>
    <n v="168.5"/>
    <s v="SUCCESS"/>
    <x v="1"/>
  </r>
  <r>
    <x v="19"/>
    <x v="10"/>
    <x v="14"/>
    <x v="14"/>
    <n v="3"/>
    <n v="350"/>
    <n v="0"/>
    <n v="350"/>
    <n v="17.5"/>
    <n v="17"/>
    <n v="384.5"/>
    <s v="SUCCESS"/>
    <x v="1"/>
  </r>
  <r>
    <x v="20"/>
    <x v="13"/>
    <x v="15"/>
    <x v="15"/>
    <n v="2"/>
    <n v="210"/>
    <n v="0"/>
    <n v="210"/>
    <n v="10.5"/>
    <n v="27"/>
    <n v="247.5"/>
    <s v="SUCCESS"/>
    <x v="0"/>
  </r>
  <r>
    <x v="21"/>
    <x v="17"/>
    <x v="16"/>
    <x v="16"/>
    <n v="2"/>
    <n v="190"/>
    <n v="0"/>
    <n v="190"/>
    <n v="9.5"/>
    <n v="19"/>
    <n v="218.5"/>
    <s v="SUCCESS"/>
    <x v="1"/>
  </r>
  <r>
    <x v="22"/>
    <x v="11"/>
    <x v="17"/>
    <x v="17"/>
    <n v="2"/>
    <n v="230"/>
    <n v="0"/>
    <n v="230"/>
    <n v="11.5"/>
    <n v="27"/>
    <n v="268.5"/>
    <s v="SUCCESS"/>
    <x v="0"/>
  </r>
  <r>
    <x v="23"/>
    <x v="2"/>
    <x v="17"/>
    <x v="17"/>
    <n v="2"/>
    <n v="220"/>
    <n v="0"/>
    <n v="220"/>
    <n v="11"/>
    <n v="19"/>
    <n v="250"/>
    <s v="SUCCESS"/>
    <x v="0"/>
  </r>
  <r>
    <x v="24"/>
    <x v="18"/>
    <x v="18"/>
    <x v="18"/>
    <n v="2"/>
    <n v="220"/>
    <n v="0"/>
    <n v="220"/>
    <n v="11"/>
    <n v="19"/>
    <n v="250"/>
    <s v="SUCCESS"/>
    <x v="0"/>
  </r>
  <r>
    <x v="25"/>
    <x v="17"/>
    <x v="19"/>
    <x v="19"/>
    <n v="2"/>
    <n v="220"/>
    <n v="0"/>
    <n v="220"/>
    <n v="11"/>
    <n v="19"/>
    <n v="250"/>
    <s v="SUCCESS"/>
    <x v="0"/>
  </r>
  <r>
    <x v="26"/>
    <x v="19"/>
    <x v="20"/>
    <x v="20"/>
    <n v="3"/>
    <n v="390"/>
    <n v="0"/>
    <n v="390"/>
    <n v="19.5"/>
    <n v="9"/>
    <n v="418.5"/>
    <s v="SUCCESS"/>
    <x v="0"/>
  </r>
  <r>
    <x v="27"/>
    <x v="19"/>
    <x v="17"/>
    <x v="17"/>
    <n v="1"/>
    <n v="120"/>
    <n v="0"/>
    <n v="120"/>
    <n v="6"/>
    <n v="29"/>
    <n v="155"/>
    <s v="SUCCESS"/>
    <x v="0"/>
  </r>
  <r>
    <x v="28"/>
    <x v="20"/>
    <x v="7"/>
    <x v="7"/>
    <n v="1"/>
    <n v="110"/>
    <n v="0"/>
    <n v="110"/>
    <n v="5.5"/>
    <n v="29"/>
    <n v="144.5"/>
    <s v="SUCCESS"/>
    <x v="1"/>
  </r>
  <r>
    <x v="29"/>
    <x v="20"/>
    <x v="17"/>
    <x v="17"/>
    <n v="2"/>
    <n v="220"/>
    <n v="0"/>
    <n v="220"/>
    <n v="11"/>
    <n v="19"/>
    <n v="250"/>
    <s v="SUCCESS"/>
    <x v="0"/>
  </r>
  <r>
    <x v="30"/>
    <x v="21"/>
    <x v="0"/>
    <x v="0"/>
    <n v="1"/>
    <n v="120"/>
    <n v="0"/>
    <n v="120"/>
    <n v="6"/>
    <n v="29"/>
    <n v="155"/>
    <s v="SUCCESS"/>
    <x v="0"/>
  </r>
  <r>
    <x v="31"/>
    <x v="22"/>
    <x v="21"/>
    <x v="21"/>
    <n v="1"/>
    <n v="140"/>
    <n v="0"/>
    <n v="140"/>
    <n v="7"/>
    <n v="29"/>
    <n v="176"/>
    <s v="SUCCESS"/>
    <x v="0"/>
  </r>
  <r>
    <x v="32"/>
    <x v="22"/>
    <x v="11"/>
    <x v="11"/>
    <n v="2"/>
    <n v="240"/>
    <n v="0"/>
    <n v="240"/>
    <n v="12"/>
    <n v="19"/>
    <n v="271"/>
    <s v="SUCCESS"/>
    <x v="0"/>
  </r>
  <r>
    <x v="33"/>
    <x v="23"/>
    <x v="0"/>
    <x v="0"/>
    <n v="1"/>
    <n v="120"/>
    <n v="0"/>
    <n v="120"/>
    <n v="6"/>
    <n v="29"/>
    <n v="155"/>
    <s v="SUCCESS"/>
    <x v="0"/>
  </r>
  <r>
    <x v="34"/>
    <x v="24"/>
    <x v="4"/>
    <x v="4"/>
    <n v="1"/>
    <n v="130"/>
    <n v="0"/>
    <n v="130"/>
    <n v="6.5"/>
    <n v="45"/>
    <n v="181.5"/>
    <s v="SUCCESS"/>
    <x v="1"/>
  </r>
  <r>
    <x v="35"/>
    <x v="25"/>
    <x v="20"/>
    <x v="20"/>
    <n v="1"/>
    <n v="130"/>
    <n v="0"/>
    <n v="130"/>
    <n v="6.5"/>
    <n v="29"/>
    <n v="165.5"/>
    <s v="SUCCESS"/>
    <x v="0"/>
  </r>
  <r>
    <x v="36"/>
    <x v="26"/>
    <x v="17"/>
    <x v="17"/>
    <n v="1"/>
    <n v="120"/>
    <n v="0"/>
    <n v="120"/>
    <n v="6"/>
    <n v="29"/>
    <n v="155"/>
    <s v="SUCCESS"/>
    <x v="0"/>
  </r>
  <r>
    <x v="37"/>
    <x v="27"/>
    <x v="19"/>
    <x v="19"/>
    <n v="2"/>
    <n v="230"/>
    <n v="0"/>
    <n v="230"/>
    <n v="11.5"/>
    <n v="19"/>
    <n v="260.5"/>
    <s v="SUCCESS"/>
    <x v="0"/>
  </r>
  <r>
    <x v="38"/>
    <x v="28"/>
    <x v="0"/>
    <x v="0"/>
    <n v="1"/>
    <n v="130"/>
    <n v="0"/>
    <n v="130"/>
    <n v="6.5"/>
    <n v="29"/>
    <n v="165.5"/>
    <s v="SUCCESS"/>
    <x v="0"/>
  </r>
  <r>
    <x v="39"/>
    <x v="29"/>
    <x v="22"/>
    <x v="22"/>
    <n v="2"/>
    <n v="200"/>
    <n v="0"/>
    <n v="200"/>
    <n v="10"/>
    <n v="19"/>
    <n v="229"/>
    <s v="SUCCESS"/>
    <x v="1"/>
  </r>
  <r>
    <x v="40"/>
    <x v="29"/>
    <x v="18"/>
    <x v="18"/>
    <n v="2"/>
    <n v="260"/>
    <n v="0"/>
    <n v="260"/>
    <n v="13"/>
    <n v="27"/>
    <n v="300"/>
    <s v="SUCCESS"/>
    <x v="0"/>
  </r>
  <r>
    <x v="41"/>
    <x v="30"/>
    <x v="9"/>
    <x v="9"/>
    <n v="1"/>
    <n v="110"/>
    <n v="0"/>
    <n v="110"/>
    <n v="5.5"/>
    <n v="37"/>
    <n v="152.5"/>
    <s v="SUCCESS"/>
    <x v="1"/>
  </r>
  <r>
    <x v="42"/>
    <x v="31"/>
    <x v="20"/>
    <x v="20"/>
    <n v="3"/>
    <n v="380"/>
    <n v="0"/>
    <n v="380"/>
    <n v="19"/>
    <n v="9"/>
    <n v="408"/>
    <s v="SUCCESS"/>
    <x v="0"/>
  </r>
  <r>
    <x v="43"/>
    <x v="32"/>
    <x v="23"/>
    <x v="23"/>
    <n v="2"/>
    <n v="230"/>
    <n v="0"/>
    <n v="230"/>
    <n v="11.5"/>
    <n v="35"/>
    <n v="276.5"/>
    <s v="SUCCESS"/>
    <x v="1"/>
  </r>
  <r>
    <x v="44"/>
    <x v="32"/>
    <x v="3"/>
    <x v="3"/>
    <n v="1"/>
    <n v="100"/>
    <n v="0"/>
    <n v="100"/>
    <n v="5"/>
    <n v="37"/>
    <n v="142"/>
    <s v="SUCCESS"/>
    <x v="1"/>
  </r>
  <r>
    <x v="45"/>
    <x v="32"/>
    <x v="19"/>
    <x v="19"/>
    <n v="2"/>
    <n v="220"/>
    <n v="0"/>
    <n v="220"/>
    <n v="11"/>
    <n v="19"/>
    <n v="250"/>
    <s v="SUCCESS"/>
    <x v="0"/>
  </r>
  <r>
    <x v="46"/>
    <x v="33"/>
    <x v="0"/>
    <x v="0"/>
    <n v="1"/>
    <n v="120"/>
    <n v="0"/>
    <n v="120"/>
    <n v="6"/>
    <n v="29"/>
    <n v="155"/>
    <s v="SUCCESS"/>
    <x v="0"/>
  </r>
  <r>
    <x v="47"/>
    <x v="34"/>
    <x v="3"/>
    <x v="3"/>
    <n v="2"/>
    <n v="230"/>
    <n v="0"/>
    <n v="230"/>
    <n v="11.5"/>
    <n v="35"/>
    <n v="276.5"/>
    <s v="SUCCESS"/>
    <x v="1"/>
  </r>
  <r>
    <x v="48"/>
    <x v="34"/>
    <x v="17"/>
    <x v="17"/>
    <n v="4"/>
    <n v="480"/>
    <n v="0"/>
    <n v="480"/>
    <n v="24"/>
    <n v="25"/>
    <n v="529"/>
    <s v="SUCCESS"/>
    <x v="0"/>
  </r>
  <r>
    <x v="49"/>
    <x v="35"/>
    <x v="0"/>
    <x v="0"/>
    <n v="2"/>
    <n v="240"/>
    <n v="0"/>
    <n v="240"/>
    <n v="12"/>
    <n v="19"/>
    <n v="271"/>
    <s v="SUCCESS"/>
    <x v="0"/>
  </r>
  <r>
    <x v="50"/>
    <x v="36"/>
    <x v="4"/>
    <x v="4"/>
    <n v="2"/>
    <n v="230"/>
    <n v="0"/>
    <n v="230"/>
    <n v="11.5"/>
    <n v="35"/>
    <n v="276.5"/>
    <s v="SUCCESS"/>
    <x v="1"/>
  </r>
  <r>
    <x v="51"/>
    <x v="37"/>
    <x v="7"/>
    <x v="7"/>
    <n v="2"/>
    <n v="220"/>
    <n v="0"/>
    <n v="220"/>
    <n v="11"/>
    <n v="19"/>
    <n v="250"/>
    <s v="SUCCESS"/>
    <x v="1"/>
  </r>
  <r>
    <x v="52"/>
    <x v="38"/>
    <x v="22"/>
    <x v="22"/>
    <n v="1"/>
    <n v="100"/>
    <n v="0"/>
    <n v="100"/>
    <n v="5"/>
    <n v="29"/>
    <n v="134"/>
    <s v="SUCCESS"/>
    <x v="1"/>
  </r>
  <r>
    <x v="53"/>
    <x v="38"/>
    <x v="23"/>
    <x v="23"/>
    <n v="2"/>
    <n v="230"/>
    <n v="0"/>
    <n v="230"/>
    <n v="11.5"/>
    <n v="35"/>
    <n v="276.5"/>
    <s v="SUCCESS"/>
    <x v="1"/>
  </r>
  <r>
    <x v="54"/>
    <x v="39"/>
    <x v="2"/>
    <x v="2"/>
    <n v="4"/>
    <n v="500"/>
    <n v="0"/>
    <n v="500"/>
    <n v="25"/>
    <n v="25"/>
    <n v="550"/>
    <s v="SUCCESS"/>
    <x v="0"/>
  </r>
  <r>
    <x v="55"/>
    <x v="39"/>
    <x v="22"/>
    <x v="22"/>
    <n v="2"/>
    <n v="200"/>
    <n v="0"/>
    <n v="200"/>
    <n v="10"/>
    <n v="19"/>
    <n v="229"/>
    <s v="SUCCESS"/>
    <x v="1"/>
  </r>
  <r>
    <x v="56"/>
    <x v="39"/>
    <x v="7"/>
    <x v="7"/>
    <n v="1"/>
    <n v="110"/>
    <n v="0"/>
    <n v="110"/>
    <n v="5.5"/>
    <n v="37"/>
    <n v="152.5"/>
    <s v="SUCCESS"/>
    <x v="1"/>
  </r>
  <r>
    <x v="57"/>
    <x v="39"/>
    <x v="3"/>
    <x v="3"/>
    <n v="1"/>
    <n v="100"/>
    <n v="0"/>
    <n v="100"/>
    <n v="5"/>
    <n v="37"/>
    <n v="142"/>
    <s v="SUCCESS"/>
    <x v="1"/>
  </r>
  <r>
    <x v="58"/>
    <x v="40"/>
    <x v="24"/>
    <x v="24"/>
    <n v="1"/>
    <n v="110"/>
    <n v="0"/>
    <n v="110"/>
    <n v="5.5"/>
    <n v="29"/>
    <n v="144.5"/>
    <s v="SUCCESS"/>
    <x v="1"/>
  </r>
  <r>
    <x v="59"/>
    <x v="40"/>
    <x v="17"/>
    <x v="17"/>
    <n v="1"/>
    <n v="120"/>
    <n v="0"/>
    <n v="120"/>
    <n v="6"/>
    <n v="29"/>
    <n v="155"/>
    <s v="SUCCESS"/>
    <x v="0"/>
  </r>
  <r>
    <x v="60"/>
    <x v="41"/>
    <x v="3"/>
    <x v="3"/>
    <n v="2"/>
    <n v="230"/>
    <n v="0"/>
    <n v="230"/>
    <n v="11.5"/>
    <n v="27"/>
    <n v="268.5"/>
    <s v="SUCCESS"/>
    <x v="1"/>
  </r>
  <r>
    <x v="61"/>
    <x v="42"/>
    <x v="17"/>
    <x v="17"/>
    <n v="2"/>
    <n v="240"/>
    <n v="0"/>
    <n v="240"/>
    <n v="12"/>
    <n v="27"/>
    <n v="279"/>
    <s v="SUCCESS"/>
    <x v="0"/>
  </r>
  <r>
    <x v="62"/>
    <x v="43"/>
    <x v="15"/>
    <x v="15"/>
    <n v="4"/>
    <n v="440"/>
    <n v="0"/>
    <n v="440"/>
    <n v="22"/>
    <n v="9"/>
    <n v="471"/>
    <s v="pending"/>
    <x v="0"/>
  </r>
  <r>
    <x v="63"/>
    <x v="44"/>
    <x v="20"/>
    <x v="20"/>
    <n v="2"/>
    <n v="260"/>
    <n v="0"/>
    <n v="260"/>
    <n v="13"/>
    <n v="19"/>
    <n v="292"/>
    <s v="pending"/>
    <x v="0"/>
  </r>
  <r>
    <x v="64"/>
    <x v="44"/>
    <x v="0"/>
    <x v="0"/>
    <n v="2"/>
    <n v="240"/>
    <n v="0"/>
    <n v="240"/>
    <n v="12"/>
    <n v="19"/>
    <n v="271"/>
    <s v="pend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957AE2-78E1-49A8-96C7-6FB00372A21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45" firstHeaderRow="1" firstDataRow="1" firstDataCol="1"/>
  <pivotFields count="13">
    <pivotField showAll="0"/>
    <pivotField numFmtId="14" showAll="0"/>
    <pivotField showAll="0">
      <items count="26">
        <item x="1"/>
        <item x="3"/>
        <item x="22"/>
        <item x="23"/>
        <item x="7"/>
        <item x="9"/>
        <item x="4"/>
        <item x="10"/>
        <item x="12"/>
        <item x="5"/>
        <item x="14"/>
        <item x="24"/>
        <item x="13"/>
        <item x="16"/>
        <item x="0"/>
        <item x="17"/>
        <item x="18"/>
        <item x="8"/>
        <item x="19"/>
        <item x="21"/>
        <item x="2"/>
        <item x="15"/>
        <item x="11"/>
        <item x="20"/>
        <item x="6"/>
        <item t="default"/>
      </items>
    </pivotField>
    <pivotField axis="axisRow" showAll="0">
      <items count="26">
        <item x="18"/>
        <item x="11"/>
        <item x="17"/>
        <item x="15"/>
        <item x="21"/>
        <item x="6"/>
        <item x="0"/>
        <item x="2"/>
        <item x="19"/>
        <item x="20"/>
        <item x="8"/>
        <item x="3"/>
        <item x="1"/>
        <item x="24"/>
        <item x="22"/>
        <item x="7"/>
        <item x="9"/>
        <item x="16"/>
        <item x="12"/>
        <item x="13"/>
        <item x="14"/>
        <item x="5"/>
        <item x="4"/>
        <item x="10"/>
        <item x="23"/>
        <item t="default"/>
      </items>
    </pivotField>
    <pivotField showAll="0"/>
    <pivotField showAll="0"/>
    <pivotField showAll="0"/>
    <pivotField showAll="0"/>
    <pivotField showAll="0"/>
    <pivotField showAll="0"/>
    <pivotField dataField="1" showAll="0"/>
    <pivotField showAll="0"/>
    <pivotField showAll="0">
      <items count="3">
        <item x="0"/>
        <item x="1"/>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 Received Amount" fld="10" baseField="0" baseItem="0"/>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55905-BFB3-465C-9DD1-471E5913717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3">
    <pivotField showAll="0">
      <items count="66">
        <item x="0"/>
        <item x="6"/>
        <item x="8"/>
        <item x="9"/>
        <item x="10"/>
        <item x="13"/>
        <item x="5"/>
        <item x="14"/>
        <item x="16"/>
        <item x="17"/>
        <item x="18"/>
        <item x="20"/>
        <item x="15"/>
        <item x="19"/>
        <item x="11"/>
        <item x="12"/>
        <item x="22"/>
        <item x="7"/>
        <item x="1"/>
        <item x="21"/>
        <item x="25"/>
        <item x="2"/>
        <item x="23"/>
        <item x="3"/>
        <item x="24"/>
        <item x="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4" showAll="0">
      <items count="46">
        <item x="0"/>
        <item x="7"/>
        <item x="8"/>
        <item x="9"/>
        <item x="12"/>
        <item x="5"/>
        <item x="14"/>
        <item x="15"/>
        <item x="16"/>
        <item x="13"/>
        <item x="10"/>
        <item x="11"/>
        <item x="6"/>
        <item x="1"/>
        <item x="17"/>
        <item x="2"/>
        <item x="3"/>
        <item x="18"/>
        <item x="4"/>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6">
        <item x="18"/>
        <item x="11"/>
        <item x="17"/>
        <item x="15"/>
        <item x="21"/>
        <item x="6"/>
        <item x="0"/>
        <item x="2"/>
        <item x="19"/>
        <item x="20"/>
        <item x="8"/>
        <item x="3"/>
        <item x="1"/>
        <item x="24"/>
        <item x="22"/>
        <item x="7"/>
        <item x="9"/>
        <item x="16"/>
        <item x="12"/>
        <item x="13"/>
        <item x="14"/>
        <item x="5"/>
        <item x="4"/>
        <item x="10"/>
        <item x="23"/>
        <item t="default"/>
      </items>
    </pivotField>
    <pivotField showAll="0"/>
    <pivotField showAll="0"/>
    <pivotField showAll="0"/>
    <pivotField showAll="0"/>
    <pivotField showAll="0"/>
    <pivotField showAll="0"/>
    <pivotField dataField="1" showAll="0"/>
    <pivotField showAll="0"/>
    <pivotField axis="axisRow" showAll="0">
      <items count="3">
        <item x="0"/>
        <item x="1"/>
        <item t="default"/>
      </items>
    </pivotField>
  </pivotFields>
  <rowFields count="1">
    <field x="12"/>
  </rowFields>
  <rowItems count="3">
    <i>
      <x/>
    </i>
    <i>
      <x v="1"/>
    </i>
    <i t="grand">
      <x/>
    </i>
  </rowItems>
  <colItems count="1">
    <i/>
  </colItems>
  <dataFields count="1">
    <dataField name="Sum of Total Received Amount"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1D77C0D-43D5-489A-95A0-D866B596AD0E}" autoFormatId="16" applyNumberFormats="0" applyBorderFormats="0" applyFontFormats="0" applyPatternFormats="0" applyAlignmentFormats="0" applyWidthHeightFormats="0">
  <queryTableRefresh nextId="4">
    <queryTableFields count="3">
      <queryTableField id="1" name="product_id" tableColumnId="1"/>
      <queryTableField id="2" name="product_name" tableColumnId="2"/>
      <queryTableField id="3" name="categor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A0225F0-0D8A-4530-AD1C-D39F1E52DEF5}"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product_ID" tableColumnId="3"/>
      <queryTableField id="4" name="product_name" tableColumnId="4"/>
      <queryTableField id="5" name="Quantity" tableColumnId="5"/>
      <queryTableField id="6" name=" Price" tableColumnId="6"/>
      <queryTableField id="7" name="Discount" tableColumnId="7"/>
      <queryTableField id="8" name="Amount Afte Discount" tableColumnId="8"/>
      <queryTableField id="9" name="GST" tableColumnId="9"/>
      <queryTableField id="10" name="Delivery Charges" tableColumnId="10"/>
      <queryTableField id="11" name="Total Received Amount" tableColumnId="11"/>
      <queryTableField id="12" name="Delivery_status" tableColumnId="12"/>
      <queryTableField id="13" name="tabl_product.categor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EFF6C3E-47BE-484A-8C49-702E22718028}" sourceName="product_name">
  <pivotTables>
    <pivotTable tabId="7" name="PivotTable1"/>
  </pivotTables>
  <data>
    <tabular pivotCacheId="518746953">
      <items count="25">
        <i x="18" s="1"/>
        <i x="11" s="1"/>
        <i x="17" s="1"/>
        <i x="15" s="1"/>
        <i x="21" s="1"/>
        <i x="6" s="1"/>
        <i x="0" s="1"/>
        <i x="2" s="1"/>
        <i x="19" s="1"/>
        <i x="20" s="1"/>
        <i x="8" s="1"/>
        <i x="3" s="1"/>
        <i x="1" s="1"/>
        <i x="24" s="1"/>
        <i x="22" s="1"/>
        <i x="7" s="1"/>
        <i x="9" s="1"/>
        <i x="16" s="1"/>
        <i x="12" s="1"/>
        <i x="13" s="1"/>
        <i x="14" s="1"/>
        <i x="5" s="1"/>
        <i x="4" s="1"/>
        <i x="10"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_product.category" xr10:uid="{4B385B42-508D-4E21-8A62-7644C9C042D2}" sourceName="tabl_product.category">
  <pivotTables>
    <pivotTable tabId="7" name="PivotTable1"/>
  </pivotTables>
  <data>
    <tabular pivotCacheId="5187469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44FBBF9B-4DF0-4BE0-9B86-4693B5A221AF}" sourceName="product_ID">
  <pivotTables>
    <pivotTable tabId="7" name="PivotTable2"/>
  </pivotTables>
  <data>
    <tabular pivotCacheId="518746953">
      <items count="25">
        <i x="1" s="1"/>
        <i x="3" s="1"/>
        <i x="22" s="1"/>
        <i x="23" s="1"/>
        <i x="7" s="1"/>
        <i x="9" s="1"/>
        <i x="4" s="1"/>
        <i x="10" s="1"/>
        <i x="12" s="1"/>
        <i x="5" s="1"/>
        <i x="14" s="1"/>
        <i x="24" s="1"/>
        <i x="13" s="1"/>
        <i x="16" s="1"/>
        <i x="0" s="1"/>
        <i x="17" s="1"/>
        <i x="18" s="1"/>
        <i x="8" s="1"/>
        <i x="19" s="1"/>
        <i x="21" s="1"/>
        <i x="2" s="1"/>
        <i x="15" s="1"/>
        <i x="11" s="1"/>
        <i x="2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AA4F490E-EEB6-4B31-BEF9-619934046A3E}" sourceName="product_name">
  <pivotTables>
    <pivotTable tabId="7" name="PivotTable2"/>
  </pivotTables>
  <data>
    <tabular pivotCacheId="518746953">
      <items count="25">
        <i x="18" s="1"/>
        <i x="11" s="1"/>
        <i x="17" s="1"/>
        <i x="15" s="1"/>
        <i x="21" s="1"/>
        <i x="6" s="1"/>
        <i x="0" s="1"/>
        <i x="2" s="1"/>
        <i x="19" s="1"/>
        <i x="20" s="1"/>
        <i x="8" s="1"/>
        <i x="3" s="1"/>
        <i x="1" s="1"/>
        <i x="24" s="1"/>
        <i x="22" s="1"/>
        <i x="7" s="1"/>
        <i x="9" s="1"/>
        <i x="16" s="1"/>
        <i x="12" s="1"/>
        <i x="13" s="1"/>
        <i x="14" s="1"/>
        <i x="5" s="1"/>
        <i x="4" s="1"/>
        <i x="10"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_product.category1" xr10:uid="{502923C0-C99F-4A6D-96A9-04787EE56333}" sourceName="tabl_product.category">
  <pivotTables>
    <pivotTable tabId="7" name="PivotTable2"/>
  </pivotTables>
  <data>
    <tabular pivotCacheId="51874695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0323B47-1389-4F56-BBE0-64515C10ADF2}" sourceName="order_date">
  <pivotTables>
    <pivotTable tabId="7" name="PivotTable1"/>
  </pivotTables>
  <data>
    <tabular pivotCacheId="518746953">
      <items count="45">
        <i x="0" s="1"/>
        <i x="7" s="1"/>
        <i x="8" s="1"/>
        <i x="9" s="1"/>
        <i x="12" s="1"/>
        <i x="5" s="1"/>
        <i x="14" s="1"/>
        <i x="15" s="1"/>
        <i x="16" s="1"/>
        <i x="13" s="1"/>
        <i x="10" s="1"/>
        <i x="11" s="1"/>
        <i x="6" s="1"/>
        <i x="1" s="1"/>
        <i x="17" s="1"/>
        <i x="2" s="1"/>
        <i x="3" s="1"/>
        <i x="18" s="1"/>
        <i x="4"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09524CB-8E0A-44C1-86C6-93B111454C43}" cache="Slicer_product_name" caption="product_name" rowHeight="241300"/>
  <slicer name="tabl_product.category" xr10:uid="{A8C873C4-B571-4610-B927-CCACDB83F4C3}" cache="Slicer_tabl_product.category" caption="tabl_product.category" rowHeight="241300"/>
  <slicer name="product_ID" xr10:uid="{4E0CE611-B3BB-44E5-AF63-9C7769DA49B3}" cache="Slicer_product_ID" caption="product_ID" rowHeight="241300"/>
  <slicer name="product_name 1" xr10:uid="{EFB9E461-7C81-4A14-9BCC-8E1EA2482278}" cache="Slicer_product_name1" caption="product_name" rowHeight="241300"/>
  <slicer name="tabl_product.category 1" xr10:uid="{0192BAC8-1594-4953-8677-9D26215426A1}" cache="Slicer_tabl_product.category1" caption="tabl_product.category" rowHeight="241300"/>
  <slicer name="order_date" xr10:uid="{60EA24E2-E629-4052-B432-96F10E21E02F}" cache="Slicer_order_date" caption="order_dat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6E464-7223-4B04-86D4-FAC22355FC7F}" name="Table1" displayName="Table1" ref="A1:M66" totalsRowShown="0">
  <autoFilter ref="A1:M66" xr:uid="{30F6E464-7223-4B04-86D4-FAC22355FC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F83718-D2C1-4D83-B013-97ED88159861}" name="Order_ID" dataDxfId="9"/>
    <tableColumn id="2" xr3:uid="{FBA233A2-0BEA-4729-963B-C0534C35AA47}" name="order_date" dataDxfId="8"/>
    <tableColumn id="3" xr3:uid="{87F69566-4E2B-49BE-B25B-0F7629D561AB}" name="order_time"/>
    <tableColumn id="4" xr3:uid="{826B8BCE-8876-4872-8FE5-B71728BE999F}" name="product_ID">
      <calculatedColumnFormula>_xlfn.XLOOKUP(E2,product_tbl!B:B,product_tbl!A:A,"NO ID FOUND",0)</calculatedColumnFormula>
    </tableColumn>
    <tableColumn id="5" xr3:uid="{D273FF20-B8D2-4611-97C3-2F3297AB95BB}" name="product_name"/>
    <tableColumn id="6" xr3:uid="{5DF9F05C-3DC7-4D73-BF1A-66CC0759CEE6}" name="Quantity"/>
    <tableColumn id="7" xr3:uid="{0592F041-1FE7-410D-91E1-CE7B996B6E27}" name=" Price"/>
    <tableColumn id="8" xr3:uid="{44DD48D7-B9DC-4808-AEEB-6050EEC7F0E9}" name="Discount"/>
    <tableColumn id="9" xr3:uid="{E8796307-5805-4428-88B3-FC568E713EF7}" name="Amount Afte Discount"/>
    <tableColumn id="10" xr3:uid="{F5BDB6B5-7F05-4353-A010-0EDCF7CEED2F}" name="GST"/>
    <tableColumn id="11" xr3:uid="{2B4C108D-DD6F-4987-806E-5ADE10FC7164}" name="Delivery Charges">
      <calculatedColumnFormula>L2-(I2+J2)</calculatedColumnFormula>
    </tableColumn>
    <tableColumn id="12" xr3:uid="{1069B2AD-54B9-4A83-A35C-DF7F92F0EA15}" name="Total Received Amount"/>
    <tableColumn id="13" xr3:uid="{227BBE64-AE66-4DD6-A7D2-0B2B67C2635F}" name="Delivery_status"/>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2B988B-F318-47E7-81C6-E67A375949EE}" name="tabl_product" displayName="tabl_product" ref="A1:C27" tableType="queryTable" totalsRowShown="0">
  <autoFilter ref="A1:C27" xr:uid="{622B988B-F318-47E7-81C6-E67A375949EE}"/>
  <tableColumns count="3">
    <tableColumn id="1" xr3:uid="{4AB05538-D9AA-420E-A94D-0564402B84DE}" uniqueName="1" name="product_id" queryTableFieldId="1" dataDxfId="7"/>
    <tableColumn id="2" xr3:uid="{B3BFE9C9-01E6-49F8-84E4-F693441D1872}" uniqueName="2" name="product_name" queryTableFieldId="2" dataDxfId="6"/>
    <tableColumn id="3" xr3:uid="{3F75022F-7865-442B-8908-88EBF82DF990}" uniqueName="3" name="category" queryTableFieldId="3"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8DCB3A-B80E-4856-9248-6F07877D4B3F}" name="Table3" displayName="Table3" ref="A1:C27" totalsRowShown="0">
  <autoFilter ref="A1:C27" xr:uid="{5C8DCB3A-B80E-4856-9248-6F07877D4B3F}">
    <filterColumn colId="0" hiddenButton="1"/>
    <filterColumn colId="1" hiddenButton="1"/>
    <filterColumn colId="2" hiddenButton="1"/>
  </autoFilter>
  <tableColumns count="3">
    <tableColumn id="1" xr3:uid="{60CCAA1E-37B0-4358-A2B1-09DA1EBA1F17}" name="product_id"/>
    <tableColumn id="2" xr3:uid="{20720891-AC66-4ECB-84C8-B19E612DE0F5}" name="product_name"/>
    <tableColumn id="3" xr3:uid="{BA37F703-D9E9-4C39-8B47-09A9A7F60C9A}" name="category"/>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DA8E40-0832-49C8-B0CE-52BA12815F29}" name="tabl_orders" displayName="tabl_orders" ref="A1:M66" tableType="queryTable" totalsRowShown="0">
  <autoFilter ref="A1:M66" xr:uid="{AADA8E40-0832-49C8-B0CE-52BA12815F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B86EBA4-A035-4F41-9A69-FE4F54D7014A}" uniqueName="1" name="Order_ID" queryTableFieldId="1"/>
    <tableColumn id="2" xr3:uid="{0BC9DE0F-C877-4DA2-9A61-EB786A74F0B8}" uniqueName="2" name="order_date" queryTableFieldId="2" dataDxfId="4"/>
    <tableColumn id="3" xr3:uid="{FECF27DC-B27D-408D-B895-2B2378FAB3E2}" uniqueName="3" name="product_ID" queryTableFieldId="3" dataDxfId="3"/>
    <tableColumn id="4" xr3:uid="{7E7C21CF-BF98-4A0E-9D0E-AC87EDFB85C7}" uniqueName="4" name="product_name" queryTableFieldId="4" dataDxfId="2"/>
    <tableColumn id="5" xr3:uid="{2D54D27E-A2A0-4C1F-87FC-E3AC8D559401}" uniqueName="5" name="Quantity" queryTableFieldId="5"/>
    <tableColumn id="6" xr3:uid="{5B99F2C2-1207-4213-A28A-24E33770D6AD}" uniqueName="6" name=" Price" queryTableFieldId="6"/>
    <tableColumn id="7" xr3:uid="{905EE3CD-BB56-4E88-B64A-7D1935998575}" uniqueName="7" name="Discount" queryTableFieldId="7"/>
    <tableColumn id="8" xr3:uid="{50F2C402-AAFC-480A-A1E2-5493068B37AD}" uniqueName="8" name="Amount Afte Discount" queryTableFieldId="8"/>
    <tableColumn id="9" xr3:uid="{B765EB37-CB99-4493-A80D-85B50B3260A9}" uniqueName="9" name="GST" queryTableFieldId="9"/>
    <tableColumn id="10" xr3:uid="{7368B81F-9531-4789-B9BA-9C0DE3858060}" uniqueName="10" name="Delivery Charges" queryTableFieldId="10"/>
    <tableColumn id="11" xr3:uid="{52605DDB-619E-4BFC-B018-0895D1F920EC}" uniqueName="11" name="Total Received Amount" queryTableFieldId="11"/>
    <tableColumn id="12" xr3:uid="{D376B406-82D4-4E97-A63E-5F0D15E3A28E}" uniqueName="12" name="Delivery_status" queryTableFieldId="12" dataDxfId="1"/>
    <tableColumn id="13" xr3:uid="{809B8BB5-FF09-45A3-A006-3C1F73AACA59}" uniqueName="13" name="tabl_product.category"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C538-6619-4376-AB5C-73C93FA7E217}">
  <dimension ref="A1:M66"/>
  <sheetViews>
    <sheetView workbookViewId="0">
      <selection activeCell="A2" sqref="A2"/>
    </sheetView>
  </sheetViews>
  <sheetFormatPr defaultRowHeight="15" x14ac:dyDescent="0.25"/>
  <cols>
    <col min="1" max="1" width="11.140625" style="2" customWidth="1"/>
    <col min="2" max="2" width="13" customWidth="1"/>
    <col min="3" max="3" width="16.42578125" bestFit="1" customWidth="1"/>
    <col min="4" max="4" width="16.42578125" customWidth="1"/>
    <col min="5" max="5" width="23.7109375" bestFit="1" customWidth="1"/>
    <col min="6" max="6" width="14" customWidth="1"/>
    <col min="7" max="7" width="12.85546875" bestFit="1" customWidth="1"/>
    <col min="8" max="8" width="15" bestFit="1" customWidth="1"/>
    <col min="9" max="9" width="28" bestFit="1" customWidth="1"/>
    <col min="11" max="11" width="18" customWidth="1"/>
    <col min="12" max="12" width="23.7109375" customWidth="1"/>
    <col min="13" max="13" width="16.85546875" customWidth="1"/>
  </cols>
  <sheetData>
    <row r="1" spans="1:13" x14ac:dyDescent="0.25">
      <c r="A1" s="2" t="s">
        <v>0</v>
      </c>
      <c r="B1" s="1" t="s">
        <v>1</v>
      </c>
      <c r="C1" t="s">
        <v>179</v>
      </c>
      <c r="D1" t="s">
        <v>190</v>
      </c>
      <c r="E1" t="s">
        <v>182</v>
      </c>
      <c r="F1" t="s">
        <v>244</v>
      </c>
      <c r="G1" t="s">
        <v>183</v>
      </c>
      <c r="H1" t="s">
        <v>184</v>
      </c>
      <c r="I1" t="s">
        <v>185</v>
      </c>
      <c r="J1" t="s">
        <v>177</v>
      </c>
      <c r="K1" t="s">
        <v>186</v>
      </c>
      <c r="L1" t="s">
        <v>178</v>
      </c>
      <c r="M1" t="s">
        <v>187</v>
      </c>
    </row>
    <row r="2" spans="1:13" x14ac:dyDescent="0.25">
      <c r="A2" s="2" t="s">
        <v>2</v>
      </c>
      <c r="B2" s="1" t="s">
        <v>3</v>
      </c>
      <c r="C2" t="s">
        <v>4</v>
      </c>
      <c r="D2" t="str">
        <f>_xlfn.XLOOKUP(E2,product_tbl!B1:B27,product_tbl!A1:A27,"no id found",0)</f>
        <v>V201</v>
      </c>
      <c r="E2" t="s">
        <v>230</v>
      </c>
      <c r="F2">
        <v>1</v>
      </c>
      <c r="G2">
        <v>120</v>
      </c>
      <c r="H2">
        <v>0</v>
      </c>
      <c r="I2">
        <v>120</v>
      </c>
      <c r="J2">
        <v>6</v>
      </c>
      <c r="K2">
        <f>L2-(I2+J2)</f>
        <v>29</v>
      </c>
      <c r="L2">
        <v>155</v>
      </c>
      <c r="M2" t="s">
        <v>180</v>
      </c>
    </row>
    <row r="3" spans="1:13" x14ac:dyDescent="0.25">
      <c r="A3" s="2" t="s">
        <v>5</v>
      </c>
      <c r="B3" s="1" t="s">
        <v>3</v>
      </c>
      <c r="C3" t="s">
        <v>6</v>
      </c>
      <c r="D3" t="str">
        <f>_xlfn.XLOOKUP(E3,product_tbl!B2:B28,product_tbl!A2:A28,"no id found",0)</f>
        <v>V208</v>
      </c>
      <c r="E3" t="s">
        <v>239</v>
      </c>
      <c r="F3">
        <v>2</v>
      </c>
      <c r="G3">
        <v>250</v>
      </c>
      <c r="H3">
        <v>0</v>
      </c>
      <c r="I3">
        <v>250</v>
      </c>
      <c r="J3">
        <v>12.5</v>
      </c>
      <c r="K3">
        <f t="shared" ref="K3:K66" si="0">L3-(I3+J3)</f>
        <v>19</v>
      </c>
      <c r="L3">
        <v>281.5</v>
      </c>
      <c r="M3" t="s">
        <v>180</v>
      </c>
    </row>
    <row r="4" spans="1:13" x14ac:dyDescent="0.25">
      <c r="A4" s="2" t="s">
        <v>7</v>
      </c>
      <c r="B4" s="1" t="s">
        <v>8</v>
      </c>
      <c r="C4" t="s">
        <v>9</v>
      </c>
      <c r="D4" t="str">
        <f>_xlfn.XLOOKUP(E4,product_tbl!B3:B29,product_tbl!A3:A29,"no id found",0)</f>
        <v>V107</v>
      </c>
      <c r="E4" t="s">
        <v>245</v>
      </c>
      <c r="F4">
        <v>2</v>
      </c>
      <c r="G4">
        <v>240</v>
      </c>
      <c r="H4">
        <v>0</v>
      </c>
      <c r="I4">
        <v>240</v>
      </c>
      <c r="J4">
        <v>12</v>
      </c>
      <c r="K4">
        <f t="shared" si="0"/>
        <v>19</v>
      </c>
      <c r="L4">
        <v>271</v>
      </c>
      <c r="M4" t="s">
        <v>180</v>
      </c>
    </row>
    <row r="5" spans="1:13" x14ac:dyDescent="0.25">
      <c r="A5" s="2" t="s">
        <v>10</v>
      </c>
      <c r="B5" s="1" t="s">
        <v>11</v>
      </c>
      <c r="C5" t="s">
        <v>12</v>
      </c>
      <c r="D5" t="str">
        <f>_xlfn.XLOOKUP(E5,product_tbl!B4:B30,product_tbl!A4:A30,"no id found",0)</f>
        <v>V110</v>
      </c>
      <c r="E5" t="s">
        <v>213</v>
      </c>
      <c r="F5">
        <v>1</v>
      </c>
      <c r="G5">
        <v>220</v>
      </c>
      <c r="H5">
        <v>0</v>
      </c>
      <c r="I5">
        <v>220</v>
      </c>
      <c r="J5">
        <v>11</v>
      </c>
      <c r="K5">
        <f t="shared" si="0"/>
        <v>19</v>
      </c>
      <c r="L5">
        <v>250</v>
      </c>
      <c r="M5" t="s">
        <v>180</v>
      </c>
    </row>
    <row r="6" spans="1:13" x14ac:dyDescent="0.25">
      <c r="A6" s="2" t="s">
        <v>13</v>
      </c>
      <c r="B6" s="1" t="s">
        <v>14</v>
      </c>
      <c r="C6" t="s">
        <v>15</v>
      </c>
      <c r="D6" t="str">
        <f>_xlfn.XLOOKUP(E6,product_tbl!B5:B31,product_tbl!A5:A31,"no id found",0)</f>
        <v>V212</v>
      </c>
      <c r="E6" t="s">
        <v>243</v>
      </c>
      <c r="F6">
        <v>2</v>
      </c>
      <c r="G6">
        <v>280</v>
      </c>
      <c r="H6">
        <v>0</v>
      </c>
      <c r="I6">
        <v>280</v>
      </c>
      <c r="J6">
        <v>14</v>
      </c>
      <c r="K6">
        <f t="shared" si="0"/>
        <v>19</v>
      </c>
      <c r="L6">
        <v>313</v>
      </c>
      <c r="M6" t="s">
        <v>180</v>
      </c>
    </row>
    <row r="7" spans="1:13" x14ac:dyDescent="0.25">
      <c r="A7" s="2" t="s">
        <v>16</v>
      </c>
      <c r="B7" s="1" t="s">
        <v>17</v>
      </c>
      <c r="C7" t="s">
        <v>18</v>
      </c>
      <c r="D7" t="str">
        <f>_xlfn.XLOOKUP(E7,product_tbl!B6:B32,product_tbl!A6:A32,"no id found",0)</f>
        <v>V204</v>
      </c>
      <c r="E7" t="s">
        <v>234</v>
      </c>
      <c r="F7">
        <v>1</v>
      </c>
      <c r="G7">
        <v>120</v>
      </c>
      <c r="H7">
        <v>0</v>
      </c>
      <c r="I7">
        <v>120</v>
      </c>
      <c r="J7">
        <v>6</v>
      </c>
      <c r="K7">
        <f t="shared" si="0"/>
        <v>29</v>
      </c>
      <c r="L7">
        <v>155</v>
      </c>
      <c r="M7" t="s">
        <v>180</v>
      </c>
    </row>
    <row r="8" spans="1:13" x14ac:dyDescent="0.25">
      <c r="A8" s="2" t="s">
        <v>19</v>
      </c>
      <c r="B8" s="1" t="s">
        <v>20</v>
      </c>
      <c r="C8" t="s">
        <v>21</v>
      </c>
      <c r="D8" t="str">
        <f>_xlfn.XLOOKUP(E8,product_tbl!B:B,product_tbl!A:A,"NO ID FOUND",0)</f>
        <v>V101</v>
      </c>
      <c r="E8" t="s">
        <v>194</v>
      </c>
      <c r="F8">
        <v>1</v>
      </c>
      <c r="G8">
        <v>90</v>
      </c>
      <c r="H8">
        <v>0</v>
      </c>
      <c r="I8">
        <v>90</v>
      </c>
      <c r="J8">
        <v>4.5</v>
      </c>
      <c r="K8">
        <f t="shared" si="0"/>
        <v>37</v>
      </c>
      <c r="L8">
        <v>131.5</v>
      </c>
      <c r="M8" t="s">
        <v>180</v>
      </c>
    </row>
    <row r="9" spans="1:13" x14ac:dyDescent="0.25">
      <c r="A9" s="2" t="s">
        <v>22</v>
      </c>
      <c r="B9" s="1" t="s">
        <v>20</v>
      </c>
      <c r="C9" t="s">
        <v>23</v>
      </c>
      <c r="D9" t="str">
        <f>_xlfn.XLOOKUP(E9,product_tbl!B:B,product_tbl!A:A,"NO ID FOUND",0)</f>
        <v>V106</v>
      </c>
      <c r="E9" t="s">
        <v>210</v>
      </c>
      <c r="F9">
        <v>2</v>
      </c>
      <c r="G9">
        <v>200</v>
      </c>
      <c r="H9">
        <v>0</v>
      </c>
      <c r="I9">
        <v>200</v>
      </c>
      <c r="J9">
        <v>10</v>
      </c>
      <c r="K9">
        <f t="shared" si="0"/>
        <v>27</v>
      </c>
      <c r="L9">
        <v>237</v>
      </c>
      <c r="M9" t="s">
        <v>180</v>
      </c>
    </row>
    <row r="10" spans="1:13" x14ac:dyDescent="0.25">
      <c r="A10" s="2" t="s">
        <v>24</v>
      </c>
      <c r="B10" s="1" t="s">
        <v>25</v>
      </c>
      <c r="C10" t="s">
        <v>26</v>
      </c>
      <c r="D10" t="str">
        <f>_xlfn.XLOOKUP(E10,product_tbl!B:B,product_tbl!A:A,"NO ID FOUND",0)</f>
        <v>V210</v>
      </c>
      <c r="E10" t="s">
        <v>241</v>
      </c>
      <c r="F10">
        <v>3</v>
      </c>
      <c r="G10">
        <v>320</v>
      </c>
      <c r="H10">
        <v>0</v>
      </c>
      <c r="I10">
        <v>320</v>
      </c>
      <c r="J10">
        <v>16</v>
      </c>
      <c r="K10">
        <f t="shared" si="0"/>
        <v>9</v>
      </c>
      <c r="L10">
        <v>345</v>
      </c>
      <c r="M10" t="s">
        <v>180</v>
      </c>
    </row>
    <row r="11" spans="1:13" x14ac:dyDescent="0.25">
      <c r="A11" s="2" t="s">
        <v>27</v>
      </c>
      <c r="B11" s="1" t="s">
        <v>28</v>
      </c>
      <c r="C11" t="s">
        <v>29</v>
      </c>
      <c r="D11" t="str">
        <f>_xlfn.XLOOKUP(E11,product_tbl!B:B,product_tbl!A:A,"NO ID FOUND",0)</f>
        <v>V109</v>
      </c>
      <c r="E11" t="s">
        <v>212</v>
      </c>
      <c r="F11">
        <v>3</v>
      </c>
      <c r="G11">
        <v>370</v>
      </c>
      <c r="H11">
        <v>0</v>
      </c>
      <c r="I11">
        <v>370</v>
      </c>
      <c r="J11">
        <v>18.5</v>
      </c>
      <c r="K11">
        <f t="shared" si="0"/>
        <v>9</v>
      </c>
      <c r="L11">
        <v>397.5</v>
      </c>
      <c r="M11" t="s">
        <v>180</v>
      </c>
    </row>
    <row r="12" spans="1:13" x14ac:dyDescent="0.25">
      <c r="A12" s="2" t="s">
        <v>30</v>
      </c>
      <c r="B12" s="1" t="s">
        <v>31</v>
      </c>
      <c r="C12" t="s">
        <v>32</v>
      </c>
      <c r="D12" t="str">
        <f>_xlfn.XLOOKUP(E12,product_tbl!B:B,product_tbl!A:A,"NO ID FOUND",0)</f>
        <v>V113</v>
      </c>
      <c r="E12" t="s">
        <v>216</v>
      </c>
      <c r="F12">
        <v>1</v>
      </c>
      <c r="G12">
        <v>110</v>
      </c>
      <c r="H12">
        <v>0</v>
      </c>
      <c r="I12">
        <v>110</v>
      </c>
      <c r="J12">
        <v>5.5</v>
      </c>
      <c r="K12">
        <f t="shared" si="0"/>
        <v>53</v>
      </c>
      <c r="L12">
        <v>168.5</v>
      </c>
      <c r="M12" t="s">
        <v>180</v>
      </c>
    </row>
    <row r="13" spans="1:13" x14ac:dyDescent="0.25">
      <c r="A13" s="2" t="s">
        <v>33</v>
      </c>
      <c r="B13" s="1" t="s">
        <v>34</v>
      </c>
      <c r="C13" t="s">
        <v>35</v>
      </c>
      <c r="D13" t="str">
        <f>_xlfn.XLOOKUP(E13,product_tbl!B:B,product_tbl!A:A,"NO ID FOUND",0)</f>
        <v>V209</v>
      </c>
      <c r="E13" t="s">
        <v>240</v>
      </c>
      <c r="F13">
        <v>2</v>
      </c>
      <c r="G13">
        <v>210</v>
      </c>
      <c r="H13">
        <v>0</v>
      </c>
      <c r="I13">
        <v>210</v>
      </c>
      <c r="J13">
        <v>10.5</v>
      </c>
      <c r="K13">
        <f t="shared" si="0"/>
        <v>27</v>
      </c>
      <c r="L13">
        <v>247.5</v>
      </c>
      <c r="M13" t="s">
        <v>180</v>
      </c>
    </row>
    <row r="14" spans="1:13" x14ac:dyDescent="0.25">
      <c r="A14" s="2" t="s">
        <v>36</v>
      </c>
      <c r="B14" s="1" t="s">
        <v>34</v>
      </c>
      <c r="C14" t="s">
        <v>37</v>
      </c>
      <c r="D14" t="str">
        <f>_xlfn.XLOOKUP(E14,product_tbl!B:B,product_tbl!A:A,"NO ID FOUND",0)</f>
        <v>V108</v>
      </c>
      <c r="E14" t="s">
        <v>211</v>
      </c>
      <c r="F14">
        <v>2</v>
      </c>
      <c r="G14">
        <v>220</v>
      </c>
      <c r="H14">
        <v>0</v>
      </c>
      <c r="I14">
        <v>220</v>
      </c>
      <c r="J14">
        <v>11</v>
      </c>
      <c r="K14">
        <f t="shared" si="0"/>
        <v>19</v>
      </c>
      <c r="L14">
        <v>250</v>
      </c>
      <c r="M14" t="s">
        <v>180</v>
      </c>
    </row>
    <row r="15" spans="1:13" x14ac:dyDescent="0.25">
      <c r="A15" s="2" t="s">
        <v>38</v>
      </c>
      <c r="B15" s="1" t="s">
        <v>39</v>
      </c>
      <c r="C15" t="s">
        <v>40</v>
      </c>
      <c r="D15" t="str">
        <f>_xlfn.XLOOKUP(E15,product_tbl!B:B,product_tbl!A:A,"NO ID FOUND",0)</f>
        <v>V111</v>
      </c>
      <c r="E15" t="s">
        <v>214</v>
      </c>
      <c r="F15">
        <v>3</v>
      </c>
      <c r="G15">
        <v>350</v>
      </c>
      <c r="H15">
        <v>0</v>
      </c>
      <c r="I15">
        <v>350</v>
      </c>
      <c r="J15">
        <v>17.5</v>
      </c>
      <c r="K15">
        <f t="shared" si="0"/>
        <v>17</v>
      </c>
      <c r="L15">
        <v>384.5</v>
      </c>
      <c r="M15" t="s">
        <v>180</v>
      </c>
    </row>
    <row r="16" spans="1:13" x14ac:dyDescent="0.25">
      <c r="A16" s="2" t="s">
        <v>41</v>
      </c>
      <c r="B16" s="1" t="s">
        <v>39</v>
      </c>
      <c r="C16" t="s">
        <v>42</v>
      </c>
      <c r="D16" t="str">
        <f>_xlfn.XLOOKUP(E16,product_tbl!B:B,product_tbl!A:A,"NO ID FOUND",0)</f>
        <v>V212</v>
      </c>
      <c r="E16" t="s">
        <v>243</v>
      </c>
      <c r="F16">
        <v>2</v>
      </c>
      <c r="G16">
        <v>280</v>
      </c>
      <c r="H16">
        <v>0</v>
      </c>
      <c r="I16">
        <v>280</v>
      </c>
      <c r="J16">
        <v>14</v>
      </c>
      <c r="K16">
        <f t="shared" si="0"/>
        <v>19</v>
      </c>
      <c r="L16">
        <v>313</v>
      </c>
      <c r="M16" t="s">
        <v>180</v>
      </c>
    </row>
    <row r="17" spans="1:13" x14ac:dyDescent="0.25">
      <c r="A17" s="2" t="s">
        <v>43</v>
      </c>
      <c r="B17" s="1" t="s">
        <v>44</v>
      </c>
      <c r="C17" t="s">
        <v>45</v>
      </c>
      <c r="D17" t="str">
        <f>_xlfn.XLOOKUP(E17,product_tbl!B:B,product_tbl!A:A,"NO ID FOUND",0)</f>
        <v>V105</v>
      </c>
      <c r="E17" t="s">
        <v>209</v>
      </c>
      <c r="F17">
        <v>1</v>
      </c>
      <c r="G17">
        <v>100</v>
      </c>
      <c r="H17">
        <v>0</v>
      </c>
      <c r="I17">
        <v>100</v>
      </c>
      <c r="J17">
        <v>5</v>
      </c>
      <c r="K17">
        <f t="shared" si="0"/>
        <v>29</v>
      </c>
      <c r="L17">
        <v>134</v>
      </c>
      <c r="M17" t="s">
        <v>180</v>
      </c>
    </row>
    <row r="18" spans="1:13" x14ac:dyDescent="0.25">
      <c r="A18" s="2" t="s">
        <v>46</v>
      </c>
      <c r="B18" s="1" t="s">
        <v>44</v>
      </c>
      <c r="C18" t="s">
        <v>47</v>
      </c>
      <c r="D18" t="str">
        <f>_xlfn.XLOOKUP(E18,product_tbl!B:B,product_tbl!A:A,"NO ID FOUND",0)</f>
        <v>V202</v>
      </c>
      <c r="E18" t="s">
        <v>232</v>
      </c>
      <c r="F18">
        <v>2</v>
      </c>
      <c r="G18">
        <v>230</v>
      </c>
      <c r="H18">
        <v>0</v>
      </c>
      <c r="I18">
        <v>230</v>
      </c>
      <c r="J18">
        <v>11.5</v>
      </c>
      <c r="K18">
        <f t="shared" si="0"/>
        <v>27</v>
      </c>
      <c r="L18">
        <v>268.5</v>
      </c>
      <c r="M18" t="s">
        <v>180</v>
      </c>
    </row>
    <row r="19" spans="1:13" x14ac:dyDescent="0.25">
      <c r="A19" s="2" t="s">
        <v>48</v>
      </c>
      <c r="B19" s="1" t="s">
        <v>49</v>
      </c>
      <c r="C19" t="s">
        <v>50</v>
      </c>
      <c r="D19" t="str">
        <f>_xlfn.XLOOKUP(E19,product_tbl!B:B,product_tbl!A:A,"NO ID FOUND",0)</f>
        <v>V102</v>
      </c>
      <c r="E19" t="s">
        <v>196</v>
      </c>
      <c r="F19">
        <v>1</v>
      </c>
      <c r="G19">
        <v>90</v>
      </c>
      <c r="H19">
        <v>0</v>
      </c>
      <c r="I19">
        <v>90</v>
      </c>
      <c r="J19">
        <v>4.5</v>
      </c>
      <c r="K19">
        <f t="shared" si="0"/>
        <v>37</v>
      </c>
      <c r="L19">
        <v>131.5</v>
      </c>
      <c r="M19" t="s">
        <v>180</v>
      </c>
    </row>
    <row r="20" spans="1:13" x14ac:dyDescent="0.25">
      <c r="A20" s="2" t="s">
        <v>51</v>
      </c>
      <c r="B20" s="1" t="s">
        <v>52</v>
      </c>
      <c r="C20" t="s">
        <v>53</v>
      </c>
      <c r="D20" t="str">
        <f>_xlfn.XLOOKUP(E20,product_tbl!B:B,product_tbl!A:A,"NO ID FOUND",0)</f>
        <v>V201</v>
      </c>
      <c r="E20" t="s">
        <v>230</v>
      </c>
      <c r="F20">
        <v>3</v>
      </c>
      <c r="G20">
        <v>320</v>
      </c>
      <c r="H20">
        <v>0</v>
      </c>
      <c r="I20">
        <v>320</v>
      </c>
      <c r="J20">
        <v>16</v>
      </c>
      <c r="K20">
        <f t="shared" si="0"/>
        <v>17</v>
      </c>
      <c r="L20">
        <v>353</v>
      </c>
      <c r="M20" t="s">
        <v>180</v>
      </c>
    </row>
    <row r="21" spans="1:13" x14ac:dyDescent="0.25">
      <c r="A21" s="2" t="s">
        <v>54</v>
      </c>
      <c r="B21" s="1" t="s">
        <v>55</v>
      </c>
      <c r="C21" t="s">
        <v>56</v>
      </c>
      <c r="D21" t="str">
        <f>_xlfn.XLOOKUP(E21,product_tbl!B:B,product_tbl!A:A,"NO ID FOUND",0)</f>
        <v>V114</v>
      </c>
      <c r="E21" t="s">
        <v>217</v>
      </c>
      <c r="F21">
        <v>2</v>
      </c>
      <c r="G21">
        <v>190</v>
      </c>
      <c r="H21">
        <v>0</v>
      </c>
      <c r="I21">
        <v>190</v>
      </c>
      <c r="J21">
        <v>9.5</v>
      </c>
      <c r="K21">
        <f t="shared" si="0"/>
        <v>19</v>
      </c>
      <c r="L21">
        <v>218.5</v>
      </c>
      <c r="M21" t="s">
        <v>180</v>
      </c>
    </row>
    <row r="22" spans="1:13" x14ac:dyDescent="0.25">
      <c r="A22" s="2" t="s">
        <v>57</v>
      </c>
      <c r="B22" s="1" t="s">
        <v>55</v>
      </c>
      <c r="C22" t="s">
        <v>58</v>
      </c>
      <c r="D22" t="str">
        <f>_xlfn.XLOOKUP(E22,product_tbl!B:B,product_tbl!A:A,"NO ID FOUND",0)</f>
        <v>V205</v>
      </c>
      <c r="E22" t="s">
        <v>235</v>
      </c>
      <c r="F22">
        <v>2</v>
      </c>
      <c r="G22">
        <v>220</v>
      </c>
      <c r="H22">
        <v>0</v>
      </c>
      <c r="I22">
        <v>220</v>
      </c>
      <c r="J22">
        <v>11</v>
      </c>
      <c r="K22">
        <f t="shared" si="0"/>
        <v>19</v>
      </c>
      <c r="L22">
        <v>250</v>
      </c>
      <c r="M22" t="s">
        <v>180</v>
      </c>
    </row>
    <row r="23" spans="1:13" x14ac:dyDescent="0.25">
      <c r="A23" s="2" t="s">
        <v>59</v>
      </c>
      <c r="B23" s="1" t="s">
        <v>60</v>
      </c>
      <c r="C23" t="s">
        <v>61</v>
      </c>
      <c r="D23" t="str">
        <f>_xlfn.XLOOKUP(E23,product_tbl!B:B,product_tbl!A:A,"NO ID FOUND",0)</f>
        <v>V202</v>
      </c>
      <c r="E23" t="s">
        <v>232</v>
      </c>
      <c r="F23">
        <v>2</v>
      </c>
      <c r="G23">
        <v>220</v>
      </c>
      <c r="H23">
        <v>0</v>
      </c>
      <c r="I23">
        <v>220</v>
      </c>
      <c r="J23">
        <v>11</v>
      </c>
      <c r="K23">
        <f t="shared" si="0"/>
        <v>19</v>
      </c>
      <c r="L23">
        <v>250</v>
      </c>
      <c r="M23" t="s">
        <v>180</v>
      </c>
    </row>
    <row r="24" spans="1:13" x14ac:dyDescent="0.25">
      <c r="A24" s="2" t="s">
        <v>62</v>
      </c>
      <c r="B24" s="1" t="s">
        <v>60</v>
      </c>
      <c r="C24" t="s">
        <v>63</v>
      </c>
      <c r="D24" t="str">
        <f>_xlfn.XLOOKUP(E24,product_tbl!B:B,product_tbl!A:A,"NO ID FOUND",0)</f>
        <v>V201</v>
      </c>
      <c r="E24" t="s">
        <v>230</v>
      </c>
      <c r="F24">
        <v>1</v>
      </c>
      <c r="G24">
        <v>110</v>
      </c>
      <c r="H24">
        <v>0</v>
      </c>
      <c r="I24">
        <v>110</v>
      </c>
      <c r="J24">
        <v>5.5</v>
      </c>
      <c r="K24">
        <f t="shared" si="0"/>
        <v>37</v>
      </c>
      <c r="L24">
        <v>152.5</v>
      </c>
      <c r="M24" t="s">
        <v>180</v>
      </c>
    </row>
    <row r="25" spans="1:13" x14ac:dyDescent="0.25">
      <c r="A25" s="2" t="s">
        <v>64</v>
      </c>
      <c r="B25" s="1" t="s">
        <v>65</v>
      </c>
      <c r="C25" t="s">
        <v>66</v>
      </c>
      <c r="D25" t="str">
        <f>_xlfn.XLOOKUP(E25,product_tbl!B:B,product_tbl!A:A,"NO ID FOUND",0)</f>
        <v>V201</v>
      </c>
      <c r="E25" t="s">
        <v>230</v>
      </c>
      <c r="F25">
        <v>1</v>
      </c>
      <c r="G25">
        <v>110</v>
      </c>
      <c r="H25">
        <v>0</v>
      </c>
      <c r="I25">
        <v>110</v>
      </c>
      <c r="J25">
        <v>5.5</v>
      </c>
      <c r="K25">
        <f t="shared" si="0"/>
        <v>37</v>
      </c>
      <c r="L25">
        <v>152.5</v>
      </c>
      <c r="M25" t="s">
        <v>180</v>
      </c>
    </row>
    <row r="26" spans="1:13" x14ac:dyDescent="0.25">
      <c r="A26" s="2" t="s">
        <v>67</v>
      </c>
      <c r="B26" s="1" t="s">
        <v>68</v>
      </c>
      <c r="C26" t="s">
        <v>69</v>
      </c>
      <c r="D26" t="str">
        <f>_xlfn.XLOOKUP(E26,product_tbl!B:B,product_tbl!A:A,"NO ID FOUND",0)</f>
        <v>V203</v>
      </c>
      <c r="E26" t="s">
        <v>233</v>
      </c>
      <c r="F26">
        <v>2</v>
      </c>
      <c r="G26">
        <v>220</v>
      </c>
      <c r="H26">
        <v>0</v>
      </c>
      <c r="I26">
        <v>220</v>
      </c>
      <c r="J26">
        <v>11</v>
      </c>
      <c r="K26">
        <f t="shared" si="0"/>
        <v>19</v>
      </c>
      <c r="L26">
        <v>250</v>
      </c>
      <c r="M26" t="s">
        <v>180</v>
      </c>
    </row>
    <row r="27" spans="1:13" x14ac:dyDescent="0.25">
      <c r="A27" s="2" t="s">
        <v>70</v>
      </c>
      <c r="B27" s="1" t="s">
        <v>71</v>
      </c>
      <c r="C27" t="s">
        <v>72</v>
      </c>
      <c r="D27" t="str">
        <f>_xlfn.XLOOKUP(E27,product_tbl!B:B,product_tbl!A:A,"NO ID FOUND",0)</f>
        <v>V201</v>
      </c>
      <c r="E27" t="s">
        <v>230</v>
      </c>
      <c r="F27">
        <v>2</v>
      </c>
      <c r="G27">
        <v>220</v>
      </c>
      <c r="H27">
        <v>0</v>
      </c>
      <c r="I27">
        <v>220</v>
      </c>
      <c r="J27">
        <v>11</v>
      </c>
      <c r="K27">
        <f t="shared" si="0"/>
        <v>19</v>
      </c>
      <c r="L27">
        <v>250</v>
      </c>
      <c r="M27" t="s">
        <v>180</v>
      </c>
    </row>
    <row r="28" spans="1:13" x14ac:dyDescent="0.25">
      <c r="A28" s="2" t="s">
        <v>73</v>
      </c>
      <c r="B28" s="1" t="s">
        <v>74</v>
      </c>
      <c r="C28" t="s">
        <v>75</v>
      </c>
      <c r="D28" t="str">
        <f>_xlfn.XLOOKUP(E28,product_tbl!B:B,product_tbl!A:A,"NO ID FOUND",0)</f>
        <v>V211</v>
      </c>
      <c r="E28" t="s">
        <v>242</v>
      </c>
      <c r="F28">
        <v>3</v>
      </c>
      <c r="G28">
        <v>390</v>
      </c>
      <c r="H28">
        <v>0</v>
      </c>
      <c r="I28">
        <v>390</v>
      </c>
      <c r="J28">
        <v>19.5</v>
      </c>
      <c r="K28">
        <f t="shared" si="0"/>
        <v>9</v>
      </c>
      <c r="L28">
        <v>418.5</v>
      </c>
      <c r="M28" t="s">
        <v>180</v>
      </c>
    </row>
    <row r="29" spans="1:13" x14ac:dyDescent="0.25">
      <c r="A29" s="2" t="s">
        <v>76</v>
      </c>
      <c r="B29" s="1" t="s">
        <v>74</v>
      </c>
      <c r="C29" t="s">
        <v>77</v>
      </c>
      <c r="D29" t="str">
        <f>_xlfn.XLOOKUP(E29,product_tbl!B:B,product_tbl!A:A,"NO ID FOUND",0)</f>
        <v>V202</v>
      </c>
      <c r="E29" t="s">
        <v>232</v>
      </c>
      <c r="F29">
        <v>1</v>
      </c>
      <c r="G29">
        <v>120</v>
      </c>
      <c r="H29">
        <v>0</v>
      </c>
      <c r="I29">
        <v>120</v>
      </c>
      <c r="J29">
        <v>6</v>
      </c>
      <c r="K29">
        <f t="shared" si="0"/>
        <v>29</v>
      </c>
      <c r="L29">
        <v>155</v>
      </c>
      <c r="M29" t="s">
        <v>180</v>
      </c>
    </row>
    <row r="30" spans="1:13" x14ac:dyDescent="0.25">
      <c r="A30" s="2" t="s">
        <v>78</v>
      </c>
      <c r="B30" s="1" t="s">
        <v>79</v>
      </c>
      <c r="C30" t="s">
        <v>80</v>
      </c>
      <c r="D30" t="str">
        <f>_xlfn.XLOOKUP(E30,product_tbl!B:B,product_tbl!A:A,"NO ID FOUND",0)</f>
        <v>V105</v>
      </c>
      <c r="E30" t="s">
        <v>209</v>
      </c>
      <c r="F30">
        <v>1</v>
      </c>
      <c r="G30">
        <v>110</v>
      </c>
      <c r="H30">
        <v>0</v>
      </c>
      <c r="I30">
        <v>110</v>
      </c>
      <c r="J30">
        <v>5.5</v>
      </c>
      <c r="K30">
        <f t="shared" si="0"/>
        <v>29</v>
      </c>
      <c r="L30">
        <v>144.5</v>
      </c>
      <c r="M30" t="s">
        <v>180</v>
      </c>
    </row>
    <row r="31" spans="1:13" x14ac:dyDescent="0.25">
      <c r="A31" s="2" t="s">
        <v>81</v>
      </c>
      <c r="B31" s="1" t="s">
        <v>79</v>
      </c>
      <c r="C31" t="s">
        <v>82</v>
      </c>
      <c r="D31" t="str">
        <f>_xlfn.XLOOKUP(E31,product_tbl!B:B,product_tbl!A:A,"NO ID FOUND",0)</f>
        <v>V202</v>
      </c>
      <c r="E31" t="s">
        <v>232</v>
      </c>
      <c r="F31">
        <v>2</v>
      </c>
      <c r="G31">
        <v>220</v>
      </c>
      <c r="H31">
        <v>0</v>
      </c>
      <c r="I31">
        <v>220</v>
      </c>
      <c r="J31">
        <v>11</v>
      </c>
      <c r="K31">
        <f t="shared" si="0"/>
        <v>19</v>
      </c>
      <c r="L31">
        <v>250</v>
      </c>
      <c r="M31" t="s">
        <v>180</v>
      </c>
    </row>
    <row r="32" spans="1:13" x14ac:dyDescent="0.25">
      <c r="A32" s="2" t="s">
        <v>83</v>
      </c>
      <c r="B32" s="1" t="s">
        <v>84</v>
      </c>
      <c r="C32" t="s">
        <v>85</v>
      </c>
      <c r="D32" t="str">
        <f>_xlfn.XLOOKUP(E32,product_tbl!B:B,product_tbl!A:A,"NO ID FOUND",0)</f>
        <v>V201</v>
      </c>
      <c r="E32" t="s">
        <v>230</v>
      </c>
      <c r="F32">
        <v>1</v>
      </c>
      <c r="G32">
        <v>120</v>
      </c>
      <c r="H32">
        <v>0</v>
      </c>
      <c r="I32">
        <v>120</v>
      </c>
      <c r="J32">
        <v>6</v>
      </c>
      <c r="K32">
        <f t="shared" si="0"/>
        <v>29</v>
      </c>
      <c r="L32">
        <v>155</v>
      </c>
      <c r="M32" t="s">
        <v>180</v>
      </c>
    </row>
    <row r="33" spans="1:13" x14ac:dyDescent="0.25">
      <c r="A33" s="2" t="s">
        <v>86</v>
      </c>
      <c r="B33" s="1" t="s">
        <v>87</v>
      </c>
      <c r="C33" t="s">
        <v>88</v>
      </c>
      <c r="D33" t="str">
        <f>_xlfn.XLOOKUP(E33,product_tbl!B:B,product_tbl!A:A,"NO ID FOUND",0)</f>
        <v>V207</v>
      </c>
      <c r="E33" t="s">
        <v>238</v>
      </c>
      <c r="F33">
        <v>1</v>
      </c>
      <c r="G33">
        <v>140</v>
      </c>
      <c r="H33">
        <v>0</v>
      </c>
      <c r="I33">
        <v>140</v>
      </c>
      <c r="J33">
        <v>7</v>
      </c>
      <c r="K33">
        <f t="shared" si="0"/>
        <v>29</v>
      </c>
      <c r="L33">
        <v>176</v>
      </c>
      <c r="M33" t="s">
        <v>180</v>
      </c>
    </row>
    <row r="34" spans="1:13" x14ac:dyDescent="0.25">
      <c r="A34" s="2" t="s">
        <v>89</v>
      </c>
      <c r="B34" s="1" t="s">
        <v>87</v>
      </c>
      <c r="C34" t="s">
        <v>90</v>
      </c>
      <c r="D34" t="str">
        <f>_xlfn.XLOOKUP(E34,product_tbl!B:B,product_tbl!A:A,"NO ID FOUND",0)</f>
        <v>V210</v>
      </c>
      <c r="E34" t="s">
        <v>241</v>
      </c>
      <c r="F34">
        <v>2</v>
      </c>
      <c r="G34">
        <v>240</v>
      </c>
      <c r="H34">
        <v>0</v>
      </c>
      <c r="I34">
        <v>240</v>
      </c>
      <c r="J34">
        <v>12</v>
      </c>
      <c r="K34">
        <f t="shared" si="0"/>
        <v>19</v>
      </c>
      <c r="L34">
        <v>271</v>
      </c>
      <c r="M34" t="s">
        <v>180</v>
      </c>
    </row>
    <row r="35" spans="1:13" x14ac:dyDescent="0.25">
      <c r="A35" s="2" t="s">
        <v>91</v>
      </c>
      <c r="B35" s="1" t="s">
        <v>92</v>
      </c>
      <c r="C35" t="s">
        <v>93</v>
      </c>
      <c r="D35" t="str">
        <f>_xlfn.XLOOKUP(E35,product_tbl!B:B,product_tbl!A:A,"NO ID FOUND",0)</f>
        <v>V201</v>
      </c>
      <c r="E35" t="s">
        <v>230</v>
      </c>
      <c r="F35">
        <v>1</v>
      </c>
      <c r="G35">
        <v>120</v>
      </c>
      <c r="H35">
        <v>0</v>
      </c>
      <c r="I35">
        <v>120</v>
      </c>
      <c r="J35">
        <v>6</v>
      </c>
      <c r="K35">
        <f t="shared" si="0"/>
        <v>29</v>
      </c>
      <c r="L35">
        <v>155</v>
      </c>
      <c r="M35" t="s">
        <v>180</v>
      </c>
    </row>
    <row r="36" spans="1:13" x14ac:dyDescent="0.25">
      <c r="A36" s="2" t="s">
        <v>94</v>
      </c>
      <c r="B36" s="1" t="s">
        <v>95</v>
      </c>
      <c r="C36" t="s">
        <v>96</v>
      </c>
      <c r="D36" t="str">
        <f>_xlfn.XLOOKUP(E36,product_tbl!B:B,product_tbl!A:A,"NO ID FOUND",0)</f>
        <v>V107</v>
      </c>
      <c r="E36" t="s">
        <v>245</v>
      </c>
      <c r="F36">
        <v>1</v>
      </c>
      <c r="G36">
        <v>130</v>
      </c>
      <c r="H36">
        <v>0</v>
      </c>
      <c r="I36">
        <v>130</v>
      </c>
      <c r="J36">
        <v>6.5</v>
      </c>
      <c r="K36">
        <f t="shared" si="0"/>
        <v>45</v>
      </c>
      <c r="L36">
        <v>181.5</v>
      </c>
      <c r="M36" t="s">
        <v>180</v>
      </c>
    </row>
    <row r="37" spans="1:13" x14ac:dyDescent="0.25">
      <c r="A37" s="2" t="s">
        <v>97</v>
      </c>
      <c r="B37" s="1" t="s">
        <v>98</v>
      </c>
      <c r="C37" t="s">
        <v>99</v>
      </c>
      <c r="D37" t="str">
        <f>_xlfn.XLOOKUP(E37,product_tbl!B:B,product_tbl!A:A,"NO ID FOUND",0)</f>
        <v>V211</v>
      </c>
      <c r="E37" t="s">
        <v>242</v>
      </c>
      <c r="F37">
        <v>1</v>
      </c>
      <c r="G37">
        <v>130</v>
      </c>
      <c r="H37">
        <v>0</v>
      </c>
      <c r="I37">
        <v>130</v>
      </c>
      <c r="J37">
        <v>6.5</v>
      </c>
      <c r="K37">
        <f t="shared" si="0"/>
        <v>29</v>
      </c>
      <c r="L37">
        <v>165.5</v>
      </c>
      <c r="M37" t="s">
        <v>180</v>
      </c>
    </row>
    <row r="38" spans="1:13" x14ac:dyDescent="0.25">
      <c r="A38" s="2" t="s">
        <v>100</v>
      </c>
      <c r="B38" s="1" t="s">
        <v>101</v>
      </c>
      <c r="C38" t="s">
        <v>102</v>
      </c>
      <c r="D38" t="str">
        <f>_xlfn.XLOOKUP(E38,product_tbl!B:B,product_tbl!A:A,"NO ID FOUND",0)</f>
        <v>V202</v>
      </c>
      <c r="E38" t="s">
        <v>232</v>
      </c>
      <c r="F38">
        <v>1</v>
      </c>
      <c r="G38">
        <v>120</v>
      </c>
      <c r="H38">
        <v>0</v>
      </c>
      <c r="I38">
        <v>120</v>
      </c>
      <c r="J38">
        <v>6</v>
      </c>
      <c r="K38">
        <f t="shared" si="0"/>
        <v>29</v>
      </c>
      <c r="L38">
        <v>155</v>
      </c>
      <c r="M38" t="s">
        <v>180</v>
      </c>
    </row>
    <row r="39" spans="1:13" x14ac:dyDescent="0.25">
      <c r="A39" s="2" t="s">
        <v>103</v>
      </c>
      <c r="B39" s="1" t="s">
        <v>104</v>
      </c>
      <c r="C39" t="s">
        <v>105</v>
      </c>
      <c r="D39" t="str">
        <f>_xlfn.XLOOKUP(E39,product_tbl!B:B,product_tbl!A:A,"NO ID FOUND",0)</f>
        <v>V205</v>
      </c>
      <c r="E39" t="s">
        <v>235</v>
      </c>
      <c r="F39">
        <v>2</v>
      </c>
      <c r="G39">
        <v>230</v>
      </c>
      <c r="H39">
        <v>0</v>
      </c>
      <c r="I39">
        <v>230</v>
      </c>
      <c r="J39">
        <v>11.5</v>
      </c>
      <c r="K39">
        <f t="shared" si="0"/>
        <v>19</v>
      </c>
      <c r="L39">
        <v>260.5</v>
      </c>
      <c r="M39" t="s">
        <v>180</v>
      </c>
    </row>
    <row r="40" spans="1:13" x14ac:dyDescent="0.25">
      <c r="A40" s="2" t="s">
        <v>106</v>
      </c>
      <c r="B40" s="1" t="s">
        <v>107</v>
      </c>
      <c r="C40" t="s">
        <v>108</v>
      </c>
      <c r="D40" t="str">
        <f>_xlfn.XLOOKUP(E40,product_tbl!B:B,product_tbl!A:A,"NO ID FOUND",0)</f>
        <v>V201</v>
      </c>
      <c r="E40" t="s">
        <v>230</v>
      </c>
      <c r="F40">
        <v>1</v>
      </c>
      <c r="G40">
        <v>130</v>
      </c>
      <c r="H40">
        <v>0</v>
      </c>
      <c r="I40">
        <v>130</v>
      </c>
      <c r="J40">
        <v>6.5</v>
      </c>
      <c r="K40">
        <f t="shared" si="0"/>
        <v>29</v>
      </c>
      <c r="L40">
        <v>165.5</v>
      </c>
      <c r="M40" t="s">
        <v>180</v>
      </c>
    </row>
    <row r="41" spans="1:13" x14ac:dyDescent="0.25">
      <c r="A41" s="2" t="s">
        <v>109</v>
      </c>
      <c r="B41" s="1" t="s">
        <v>110</v>
      </c>
      <c r="C41" t="s">
        <v>111</v>
      </c>
      <c r="D41" t="str">
        <f>_xlfn.XLOOKUP(E41,product_tbl!B:B,product_tbl!A:A,"NO ID FOUND",0)</f>
        <v>V103</v>
      </c>
      <c r="E41" t="s">
        <v>197</v>
      </c>
      <c r="F41">
        <v>2</v>
      </c>
      <c r="G41">
        <v>200</v>
      </c>
      <c r="H41">
        <v>0</v>
      </c>
      <c r="I41">
        <v>200</v>
      </c>
      <c r="J41">
        <v>10</v>
      </c>
      <c r="K41">
        <f t="shared" si="0"/>
        <v>19</v>
      </c>
      <c r="L41">
        <v>229</v>
      </c>
      <c r="M41" t="s">
        <v>180</v>
      </c>
    </row>
    <row r="42" spans="1:13" x14ac:dyDescent="0.25">
      <c r="A42" s="2" t="s">
        <v>112</v>
      </c>
      <c r="B42" s="1" t="s">
        <v>110</v>
      </c>
      <c r="C42" t="s">
        <v>113</v>
      </c>
      <c r="D42" t="str">
        <f>_xlfn.XLOOKUP(E42,product_tbl!B:B,product_tbl!A:A,"NO ID FOUND",0)</f>
        <v>V203</v>
      </c>
      <c r="E42" t="s">
        <v>233</v>
      </c>
      <c r="F42">
        <v>2</v>
      </c>
      <c r="G42">
        <v>260</v>
      </c>
      <c r="H42">
        <v>0</v>
      </c>
      <c r="I42">
        <v>260</v>
      </c>
      <c r="J42">
        <v>13</v>
      </c>
      <c r="K42">
        <f t="shared" si="0"/>
        <v>27</v>
      </c>
      <c r="L42">
        <v>300</v>
      </c>
      <c r="M42" t="s">
        <v>180</v>
      </c>
    </row>
    <row r="43" spans="1:13" x14ac:dyDescent="0.25">
      <c r="A43" s="2" t="s">
        <v>114</v>
      </c>
      <c r="B43" s="1" t="s">
        <v>115</v>
      </c>
      <c r="C43" t="s">
        <v>116</v>
      </c>
      <c r="D43" t="str">
        <f>_xlfn.XLOOKUP(E43,product_tbl!B:B,product_tbl!A:A,"NO ID FOUND",0)</f>
        <v>V106</v>
      </c>
      <c r="E43" t="s">
        <v>210</v>
      </c>
      <c r="F43">
        <v>1</v>
      </c>
      <c r="G43">
        <v>110</v>
      </c>
      <c r="H43">
        <v>0</v>
      </c>
      <c r="I43">
        <v>110</v>
      </c>
      <c r="J43">
        <v>5.5</v>
      </c>
      <c r="K43">
        <f t="shared" si="0"/>
        <v>37</v>
      </c>
      <c r="L43">
        <v>152.5</v>
      </c>
      <c r="M43" t="s">
        <v>180</v>
      </c>
    </row>
    <row r="44" spans="1:13" x14ac:dyDescent="0.25">
      <c r="A44" s="2" t="s">
        <v>117</v>
      </c>
      <c r="B44" s="1" t="s">
        <v>118</v>
      </c>
      <c r="C44" t="s">
        <v>119</v>
      </c>
      <c r="D44" t="str">
        <f>_xlfn.XLOOKUP(E44,product_tbl!B:B,product_tbl!A:A,"NO ID FOUND",0)</f>
        <v>V211</v>
      </c>
      <c r="E44" t="s">
        <v>242</v>
      </c>
      <c r="F44">
        <v>3</v>
      </c>
      <c r="G44">
        <v>380</v>
      </c>
      <c r="H44">
        <v>0</v>
      </c>
      <c r="I44">
        <v>380</v>
      </c>
      <c r="J44">
        <v>19</v>
      </c>
      <c r="K44">
        <f t="shared" si="0"/>
        <v>9</v>
      </c>
      <c r="L44">
        <v>408</v>
      </c>
      <c r="M44" t="s">
        <v>180</v>
      </c>
    </row>
    <row r="45" spans="1:13" x14ac:dyDescent="0.25">
      <c r="A45" s="2" t="s">
        <v>120</v>
      </c>
      <c r="B45" s="1" t="s">
        <v>121</v>
      </c>
      <c r="C45" t="s">
        <v>122</v>
      </c>
      <c r="D45" t="str">
        <f>_xlfn.XLOOKUP(E45,product_tbl!B:B,product_tbl!A:A,"NO ID FOUND",0)</f>
        <v>V104</v>
      </c>
      <c r="E45" t="s">
        <v>237</v>
      </c>
      <c r="F45">
        <v>2</v>
      </c>
      <c r="G45">
        <v>230</v>
      </c>
      <c r="H45">
        <v>0</v>
      </c>
      <c r="I45">
        <v>230</v>
      </c>
      <c r="J45">
        <v>11.5</v>
      </c>
      <c r="K45">
        <f t="shared" si="0"/>
        <v>35</v>
      </c>
      <c r="L45">
        <v>276.5</v>
      </c>
      <c r="M45" t="s">
        <v>180</v>
      </c>
    </row>
    <row r="46" spans="1:13" x14ac:dyDescent="0.25">
      <c r="A46" s="2" t="s">
        <v>123</v>
      </c>
      <c r="B46" s="1" t="s">
        <v>121</v>
      </c>
      <c r="C46" t="s">
        <v>124</v>
      </c>
      <c r="D46" t="str">
        <f>_xlfn.XLOOKUP(E46,product_tbl!B:B,product_tbl!A:A,"NO ID FOUND",0)</f>
        <v>V102</v>
      </c>
      <c r="E46" t="s">
        <v>196</v>
      </c>
      <c r="F46">
        <v>1</v>
      </c>
      <c r="G46">
        <v>100</v>
      </c>
      <c r="H46">
        <v>0</v>
      </c>
      <c r="I46">
        <v>100</v>
      </c>
      <c r="J46">
        <v>5</v>
      </c>
      <c r="K46">
        <f t="shared" si="0"/>
        <v>37</v>
      </c>
      <c r="L46">
        <v>142</v>
      </c>
      <c r="M46" t="s">
        <v>180</v>
      </c>
    </row>
    <row r="47" spans="1:13" x14ac:dyDescent="0.25">
      <c r="A47" s="2" t="s">
        <v>125</v>
      </c>
      <c r="B47" s="1" t="s">
        <v>121</v>
      </c>
      <c r="C47" t="s">
        <v>126</v>
      </c>
      <c r="D47" t="str">
        <f>_xlfn.XLOOKUP(E47,product_tbl!B:B,product_tbl!A:A,"NO ID FOUND",0)</f>
        <v>V205</v>
      </c>
      <c r="E47" t="s">
        <v>235</v>
      </c>
      <c r="F47">
        <v>2</v>
      </c>
      <c r="G47">
        <v>220</v>
      </c>
      <c r="H47">
        <v>0</v>
      </c>
      <c r="I47">
        <v>220</v>
      </c>
      <c r="J47">
        <v>11</v>
      </c>
      <c r="K47">
        <f t="shared" si="0"/>
        <v>19</v>
      </c>
      <c r="L47">
        <v>250</v>
      </c>
      <c r="M47" t="s">
        <v>180</v>
      </c>
    </row>
    <row r="48" spans="1:13" x14ac:dyDescent="0.25">
      <c r="A48" s="2" t="s">
        <v>127</v>
      </c>
      <c r="B48" s="1" t="s">
        <v>128</v>
      </c>
      <c r="C48" t="s">
        <v>129</v>
      </c>
      <c r="D48" t="str">
        <f>_xlfn.XLOOKUP(E48,product_tbl!B:B,product_tbl!A:A,"NO ID FOUND",0)</f>
        <v>V201</v>
      </c>
      <c r="E48" t="s">
        <v>230</v>
      </c>
      <c r="F48">
        <v>1</v>
      </c>
      <c r="G48">
        <v>120</v>
      </c>
      <c r="H48">
        <v>0</v>
      </c>
      <c r="I48">
        <v>120</v>
      </c>
      <c r="J48">
        <v>6</v>
      </c>
      <c r="K48">
        <f t="shared" si="0"/>
        <v>29</v>
      </c>
      <c r="L48">
        <v>155</v>
      </c>
      <c r="M48" t="s">
        <v>180</v>
      </c>
    </row>
    <row r="49" spans="1:13" x14ac:dyDescent="0.25">
      <c r="A49" s="2" t="s">
        <v>130</v>
      </c>
      <c r="B49" s="1" t="s">
        <v>131</v>
      </c>
      <c r="C49" t="s">
        <v>132</v>
      </c>
      <c r="D49" t="str">
        <f>_xlfn.XLOOKUP(E49,product_tbl!B:B,product_tbl!A:A,"NO ID FOUND",0)</f>
        <v>V102</v>
      </c>
      <c r="E49" t="s">
        <v>196</v>
      </c>
      <c r="F49">
        <v>2</v>
      </c>
      <c r="G49">
        <v>230</v>
      </c>
      <c r="H49">
        <v>0</v>
      </c>
      <c r="I49">
        <v>230</v>
      </c>
      <c r="J49">
        <v>11.5</v>
      </c>
      <c r="K49">
        <f t="shared" si="0"/>
        <v>35</v>
      </c>
      <c r="L49">
        <v>276.5</v>
      </c>
      <c r="M49" t="s">
        <v>180</v>
      </c>
    </row>
    <row r="50" spans="1:13" x14ac:dyDescent="0.25">
      <c r="A50" s="2" t="s">
        <v>133</v>
      </c>
      <c r="B50" s="1" t="s">
        <v>131</v>
      </c>
      <c r="C50" t="s">
        <v>134</v>
      </c>
      <c r="D50" t="str">
        <f>_xlfn.XLOOKUP(E50,product_tbl!B:B,product_tbl!A:A,"NO ID FOUND",0)</f>
        <v>V202</v>
      </c>
      <c r="E50" t="s">
        <v>232</v>
      </c>
      <c r="F50">
        <v>4</v>
      </c>
      <c r="G50">
        <v>480</v>
      </c>
      <c r="H50">
        <v>0</v>
      </c>
      <c r="I50">
        <v>480</v>
      </c>
      <c r="J50">
        <v>24</v>
      </c>
      <c r="K50">
        <f t="shared" si="0"/>
        <v>25</v>
      </c>
      <c r="L50">
        <v>529</v>
      </c>
      <c r="M50" t="s">
        <v>180</v>
      </c>
    </row>
    <row r="51" spans="1:13" x14ac:dyDescent="0.25">
      <c r="A51" s="2" t="s">
        <v>135</v>
      </c>
      <c r="B51" s="1" t="s">
        <v>136</v>
      </c>
      <c r="C51" t="s">
        <v>137</v>
      </c>
      <c r="D51" t="str">
        <f>_xlfn.XLOOKUP(E51,product_tbl!B:B,product_tbl!A:A,"NO ID FOUND",0)</f>
        <v>V201</v>
      </c>
      <c r="E51" t="s">
        <v>230</v>
      </c>
      <c r="F51">
        <v>2</v>
      </c>
      <c r="G51">
        <v>240</v>
      </c>
      <c r="H51">
        <v>0</v>
      </c>
      <c r="I51">
        <v>240</v>
      </c>
      <c r="J51">
        <v>12</v>
      </c>
      <c r="K51">
        <f t="shared" si="0"/>
        <v>19</v>
      </c>
      <c r="L51">
        <v>271</v>
      </c>
      <c r="M51" t="s">
        <v>180</v>
      </c>
    </row>
    <row r="52" spans="1:13" x14ac:dyDescent="0.25">
      <c r="A52" s="2" t="s">
        <v>138</v>
      </c>
      <c r="B52" s="1" t="s">
        <v>139</v>
      </c>
      <c r="C52" t="s">
        <v>140</v>
      </c>
      <c r="D52" t="str">
        <f>_xlfn.XLOOKUP(E52,product_tbl!B:B,product_tbl!A:A,"NO ID FOUND",0)</f>
        <v>V107</v>
      </c>
      <c r="E52" t="s">
        <v>245</v>
      </c>
      <c r="F52">
        <v>2</v>
      </c>
      <c r="G52">
        <v>230</v>
      </c>
      <c r="H52">
        <v>0</v>
      </c>
      <c r="I52">
        <v>230</v>
      </c>
      <c r="J52">
        <v>11.5</v>
      </c>
      <c r="K52">
        <f t="shared" si="0"/>
        <v>35</v>
      </c>
      <c r="L52">
        <v>276.5</v>
      </c>
      <c r="M52" t="s">
        <v>180</v>
      </c>
    </row>
    <row r="53" spans="1:13" x14ac:dyDescent="0.25">
      <c r="A53" s="2" t="s">
        <v>141</v>
      </c>
      <c r="B53" s="1" t="s">
        <v>142</v>
      </c>
      <c r="C53" t="s">
        <v>143</v>
      </c>
      <c r="D53" t="str">
        <f>_xlfn.XLOOKUP(E53,product_tbl!B:B,product_tbl!A:A,"NO ID FOUND",0)</f>
        <v>V105</v>
      </c>
      <c r="E53" t="s">
        <v>209</v>
      </c>
      <c r="F53">
        <v>2</v>
      </c>
      <c r="G53">
        <v>220</v>
      </c>
      <c r="H53">
        <v>0</v>
      </c>
      <c r="I53">
        <v>220</v>
      </c>
      <c r="J53">
        <v>11</v>
      </c>
      <c r="K53">
        <f t="shared" si="0"/>
        <v>19</v>
      </c>
      <c r="L53">
        <v>250</v>
      </c>
      <c r="M53" t="s">
        <v>180</v>
      </c>
    </row>
    <row r="54" spans="1:13" x14ac:dyDescent="0.25">
      <c r="A54" s="2" t="s">
        <v>144</v>
      </c>
      <c r="B54" s="1" t="s">
        <v>145</v>
      </c>
      <c r="C54" t="s">
        <v>146</v>
      </c>
      <c r="D54" t="str">
        <f>_xlfn.XLOOKUP(E54,product_tbl!B:B,product_tbl!A:A,"NO ID FOUND",0)</f>
        <v>V103</v>
      </c>
      <c r="E54" t="s">
        <v>197</v>
      </c>
      <c r="F54">
        <v>1</v>
      </c>
      <c r="G54">
        <v>100</v>
      </c>
      <c r="H54">
        <v>0</v>
      </c>
      <c r="I54">
        <v>100</v>
      </c>
      <c r="J54">
        <v>5</v>
      </c>
      <c r="K54">
        <f t="shared" si="0"/>
        <v>29</v>
      </c>
      <c r="L54">
        <v>134</v>
      </c>
      <c r="M54" t="s">
        <v>180</v>
      </c>
    </row>
    <row r="55" spans="1:13" x14ac:dyDescent="0.25">
      <c r="A55" s="2" t="s">
        <v>147</v>
      </c>
      <c r="B55" s="1" t="s">
        <v>145</v>
      </c>
      <c r="C55" t="s">
        <v>148</v>
      </c>
      <c r="D55" t="str">
        <f>_xlfn.XLOOKUP(E55,product_tbl!B:B,product_tbl!A:A,"NO ID FOUND",0)</f>
        <v>V104</v>
      </c>
      <c r="E55" t="s">
        <v>237</v>
      </c>
      <c r="F55">
        <v>2</v>
      </c>
      <c r="G55">
        <v>230</v>
      </c>
      <c r="H55">
        <v>0</v>
      </c>
      <c r="I55">
        <v>230</v>
      </c>
      <c r="J55">
        <v>11.5</v>
      </c>
      <c r="K55">
        <f t="shared" si="0"/>
        <v>35</v>
      </c>
      <c r="L55">
        <v>276.5</v>
      </c>
      <c r="M55" t="s">
        <v>180</v>
      </c>
    </row>
    <row r="56" spans="1:13" x14ac:dyDescent="0.25">
      <c r="A56" s="2" t="s">
        <v>149</v>
      </c>
      <c r="B56" s="1" t="s">
        <v>150</v>
      </c>
      <c r="C56" t="s">
        <v>151</v>
      </c>
      <c r="D56" t="str">
        <f>_xlfn.XLOOKUP(E56,product_tbl!B:B,product_tbl!A:A,"NO ID FOUND",0)</f>
        <v>V208</v>
      </c>
      <c r="E56" t="s">
        <v>239</v>
      </c>
      <c r="F56">
        <v>4</v>
      </c>
      <c r="G56">
        <v>500</v>
      </c>
      <c r="H56">
        <v>0</v>
      </c>
      <c r="I56">
        <v>500</v>
      </c>
      <c r="J56">
        <v>25</v>
      </c>
      <c r="K56">
        <f t="shared" si="0"/>
        <v>25</v>
      </c>
      <c r="L56">
        <v>550</v>
      </c>
      <c r="M56" t="s">
        <v>180</v>
      </c>
    </row>
    <row r="57" spans="1:13" x14ac:dyDescent="0.25">
      <c r="A57" s="2" t="s">
        <v>152</v>
      </c>
      <c r="B57" s="1" t="s">
        <v>150</v>
      </c>
      <c r="C57" t="s">
        <v>153</v>
      </c>
      <c r="D57" t="str">
        <f>_xlfn.XLOOKUP(E57,product_tbl!B:B,product_tbl!A:A,"NO ID FOUND",0)</f>
        <v>V103</v>
      </c>
      <c r="E57" t="s">
        <v>197</v>
      </c>
      <c r="F57">
        <v>2</v>
      </c>
      <c r="G57">
        <v>200</v>
      </c>
      <c r="H57">
        <v>0</v>
      </c>
      <c r="I57">
        <v>200</v>
      </c>
      <c r="J57">
        <v>10</v>
      </c>
      <c r="K57">
        <f t="shared" si="0"/>
        <v>19</v>
      </c>
      <c r="L57">
        <v>229</v>
      </c>
      <c r="M57" t="s">
        <v>180</v>
      </c>
    </row>
    <row r="58" spans="1:13" x14ac:dyDescent="0.25">
      <c r="A58" s="2" t="s">
        <v>154</v>
      </c>
      <c r="B58" s="1" t="s">
        <v>150</v>
      </c>
      <c r="C58" t="s">
        <v>155</v>
      </c>
      <c r="D58" t="str">
        <f>_xlfn.XLOOKUP(E58,product_tbl!B:B,product_tbl!A:A,"NO ID FOUND",0)</f>
        <v>V105</v>
      </c>
      <c r="E58" t="s">
        <v>209</v>
      </c>
      <c r="F58">
        <v>1</v>
      </c>
      <c r="G58">
        <v>110</v>
      </c>
      <c r="H58">
        <v>0</v>
      </c>
      <c r="I58">
        <v>110</v>
      </c>
      <c r="J58">
        <v>5.5</v>
      </c>
      <c r="K58">
        <f t="shared" si="0"/>
        <v>37</v>
      </c>
      <c r="L58">
        <v>152.5</v>
      </c>
      <c r="M58" t="s">
        <v>180</v>
      </c>
    </row>
    <row r="59" spans="1:13" x14ac:dyDescent="0.25">
      <c r="A59" s="2" t="s">
        <v>156</v>
      </c>
      <c r="B59" s="1" t="s">
        <v>150</v>
      </c>
      <c r="C59" t="s">
        <v>157</v>
      </c>
      <c r="D59" t="str">
        <f>_xlfn.XLOOKUP(E59,product_tbl!B:B,product_tbl!A:A,"NO ID FOUND",0)</f>
        <v>V102</v>
      </c>
      <c r="E59" t="s">
        <v>196</v>
      </c>
      <c r="F59">
        <v>1</v>
      </c>
      <c r="G59">
        <v>100</v>
      </c>
      <c r="H59">
        <v>0</v>
      </c>
      <c r="I59">
        <v>100</v>
      </c>
      <c r="J59">
        <v>5</v>
      </c>
      <c r="K59">
        <f t="shared" si="0"/>
        <v>37</v>
      </c>
      <c r="L59">
        <v>142</v>
      </c>
      <c r="M59" t="s">
        <v>180</v>
      </c>
    </row>
    <row r="60" spans="1:13" x14ac:dyDescent="0.25">
      <c r="A60" s="2" t="s">
        <v>158</v>
      </c>
      <c r="B60" s="1" t="s">
        <v>159</v>
      </c>
      <c r="C60" t="s">
        <v>160</v>
      </c>
      <c r="D60" t="str">
        <f>_xlfn.XLOOKUP(E60,product_tbl!B:B,product_tbl!A:A,"NO ID FOUND",0)</f>
        <v>V112</v>
      </c>
      <c r="E60" t="s">
        <v>215</v>
      </c>
      <c r="F60">
        <v>1</v>
      </c>
      <c r="G60">
        <v>110</v>
      </c>
      <c r="H60">
        <v>0</v>
      </c>
      <c r="I60">
        <v>110</v>
      </c>
      <c r="J60">
        <v>5.5</v>
      </c>
      <c r="K60">
        <f t="shared" si="0"/>
        <v>29</v>
      </c>
      <c r="L60">
        <v>144.5</v>
      </c>
      <c r="M60" t="s">
        <v>180</v>
      </c>
    </row>
    <row r="61" spans="1:13" x14ac:dyDescent="0.25">
      <c r="A61" s="2" t="s">
        <v>161</v>
      </c>
      <c r="B61" s="1" t="s">
        <v>159</v>
      </c>
      <c r="C61" t="s">
        <v>162</v>
      </c>
      <c r="D61" t="str">
        <f>_xlfn.XLOOKUP(E61,product_tbl!B:B,product_tbl!A:A,"NO ID FOUND",0)</f>
        <v>V202</v>
      </c>
      <c r="E61" t="s">
        <v>232</v>
      </c>
      <c r="F61">
        <v>1</v>
      </c>
      <c r="G61">
        <v>120</v>
      </c>
      <c r="H61">
        <v>0</v>
      </c>
      <c r="I61">
        <v>120</v>
      </c>
      <c r="J61">
        <v>6</v>
      </c>
      <c r="K61">
        <f t="shared" si="0"/>
        <v>29</v>
      </c>
      <c r="L61">
        <v>155</v>
      </c>
      <c r="M61" t="s">
        <v>180</v>
      </c>
    </row>
    <row r="62" spans="1:13" x14ac:dyDescent="0.25">
      <c r="A62" s="2" t="s">
        <v>163</v>
      </c>
      <c r="B62" s="1" t="s">
        <v>164</v>
      </c>
      <c r="C62" t="s">
        <v>165</v>
      </c>
      <c r="D62" t="str">
        <f>_xlfn.XLOOKUP(E62,product_tbl!B:B,product_tbl!A:A,"NO ID FOUND",0)</f>
        <v>V102</v>
      </c>
      <c r="E62" t="s">
        <v>196</v>
      </c>
      <c r="F62">
        <v>2</v>
      </c>
      <c r="G62">
        <v>230</v>
      </c>
      <c r="H62">
        <v>0</v>
      </c>
      <c r="I62">
        <v>230</v>
      </c>
      <c r="J62">
        <v>11.5</v>
      </c>
      <c r="K62">
        <f t="shared" si="0"/>
        <v>27</v>
      </c>
      <c r="L62">
        <v>268.5</v>
      </c>
      <c r="M62" t="s">
        <v>180</v>
      </c>
    </row>
    <row r="63" spans="1:13" x14ac:dyDescent="0.25">
      <c r="A63" s="2" t="s">
        <v>166</v>
      </c>
      <c r="B63" s="1" t="s">
        <v>167</v>
      </c>
      <c r="C63" t="s">
        <v>168</v>
      </c>
      <c r="D63" t="str">
        <f>_xlfn.XLOOKUP(E63,product_tbl!B:B,product_tbl!A:A,"NO ID FOUND",0)</f>
        <v>V202</v>
      </c>
      <c r="E63" t="s">
        <v>232</v>
      </c>
      <c r="F63">
        <v>2</v>
      </c>
      <c r="G63">
        <v>240</v>
      </c>
      <c r="H63">
        <v>0</v>
      </c>
      <c r="I63">
        <v>240</v>
      </c>
      <c r="J63">
        <v>12</v>
      </c>
      <c r="K63">
        <f t="shared" si="0"/>
        <v>27</v>
      </c>
      <c r="L63">
        <v>279</v>
      </c>
      <c r="M63" t="s">
        <v>180</v>
      </c>
    </row>
    <row r="64" spans="1:13" x14ac:dyDescent="0.25">
      <c r="A64" s="2" t="s">
        <v>169</v>
      </c>
      <c r="B64" s="1" t="s">
        <v>170</v>
      </c>
      <c r="C64" t="s">
        <v>171</v>
      </c>
      <c r="D64" t="str">
        <f>_xlfn.XLOOKUP(E64,product_tbl!B:B,product_tbl!A:A,"NO ID FOUND",0)</f>
        <v>V209</v>
      </c>
      <c r="E64" t="s">
        <v>240</v>
      </c>
      <c r="F64">
        <v>4</v>
      </c>
      <c r="G64">
        <v>440</v>
      </c>
      <c r="H64">
        <v>0</v>
      </c>
      <c r="I64">
        <v>440</v>
      </c>
      <c r="J64">
        <v>22</v>
      </c>
      <c r="K64">
        <f t="shared" si="0"/>
        <v>9</v>
      </c>
      <c r="L64">
        <v>471</v>
      </c>
      <c r="M64" t="s">
        <v>181</v>
      </c>
    </row>
    <row r="65" spans="1:13" x14ac:dyDescent="0.25">
      <c r="A65" s="2" t="s">
        <v>172</v>
      </c>
      <c r="B65" s="1" t="s">
        <v>173</v>
      </c>
      <c r="C65" t="s">
        <v>174</v>
      </c>
      <c r="D65" t="str">
        <f>_xlfn.XLOOKUP(E65,product_tbl!B:B,product_tbl!A:A,"NO ID FOUND",0)</f>
        <v>V211</v>
      </c>
      <c r="E65" t="s">
        <v>242</v>
      </c>
      <c r="F65">
        <v>2</v>
      </c>
      <c r="G65">
        <v>260</v>
      </c>
      <c r="H65">
        <v>0</v>
      </c>
      <c r="I65">
        <v>260</v>
      </c>
      <c r="J65">
        <v>13</v>
      </c>
      <c r="K65">
        <f t="shared" si="0"/>
        <v>19</v>
      </c>
      <c r="L65">
        <v>292</v>
      </c>
      <c r="M65" t="s">
        <v>181</v>
      </c>
    </row>
    <row r="66" spans="1:13" x14ac:dyDescent="0.25">
      <c r="A66" s="2" t="s">
        <v>175</v>
      </c>
      <c r="B66" s="1" t="s">
        <v>173</v>
      </c>
      <c r="C66" t="s">
        <v>176</v>
      </c>
      <c r="D66" t="str">
        <f>_xlfn.XLOOKUP(E66,product_tbl!B:B,product_tbl!A:A,"NO ID FOUND",0)</f>
        <v>V201</v>
      </c>
      <c r="E66" t="s">
        <v>230</v>
      </c>
      <c r="F66">
        <v>2</v>
      </c>
      <c r="G66">
        <v>240</v>
      </c>
      <c r="H66">
        <v>0</v>
      </c>
      <c r="I66">
        <v>240</v>
      </c>
      <c r="J66">
        <v>12</v>
      </c>
      <c r="K66">
        <f t="shared" si="0"/>
        <v>19</v>
      </c>
      <c r="L66">
        <v>271</v>
      </c>
      <c r="M66" t="s">
        <v>181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F0BC-8EBB-4072-965C-3FDAB9FBB34E}">
  <dimension ref="A1:C27"/>
  <sheetViews>
    <sheetView workbookViewId="0"/>
  </sheetViews>
  <sheetFormatPr defaultRowHeight="15" x14ac:dyDescent="0.25"/>
  <cols>
    <col min="1" max="1" width="12.85546875" bestFit="1" customWidth="1"/>
    <col min="2" max="2" width="27.42578125" bestFit="1" customWidth="1"/>
    <col min="3" max="3" width="10.85546875" bestFit="1" customWidth="1"/>
  </cols>
  <sheetData>
    <row r="1" spans="1:3" x14ac:dyDescent="0.25">
      <c r="A1" t="s">
        <v>188</v>
      </c>
      <c r="B1" t="s">
        <v>182</v>
      </c>
      <c r="C1" t="s">
        <v>189</v>
      </c>
    </row>
    <row r="2" spans="1:3" x14ac:dyDescent="0.25">
      <c r="A2" s="3" t="s">
        <v>191</v>
      </c>
      <c r="B2" s="3" t="s">
        <v>194</v>
      </c>
      <c r="C2" s="3" t="s">
        <v>195</v>
      </c>
    </row>
    <row r="3" spans="1:3" x14ac:dyDescent="0.25">
      <c r="A3" s="3" t="s">
        <v>192</v>
      </c>
      <c r="B3" s="3" t="s">
        <v>196</v>
      </c>
      <c r="C3" s="3" t="s">
        <v>195</v>
      </c>
    </row>
    <row r="4" spans="1:3" x14ac:dyDescent="0.25">
      <c r="A4" s="3" t="s">
        <v>193</v>
      </c>
      <c r="B4" s="3" t="s">
        <v>197</v>
      </c>
      <c r="C4" s="3" t="s">
        <v>195</v>
      </c>
    </row>
    <row r="5" spans="1:3" x14ac:dyDescent="0.25">
      <c r="A5" s="3" t="s">
        <v>198</v>
      </c>
      <c r="B5" s="3" t="s">
        <v>237</v>
      </c>
      <c r="C5" s="3" t="s">
        <v>195</v>
      </c>
    </row>
    <row r="6" spans="1:3" x14ac:dyDescent="0.25">
      <c r="A6" s="3" t="s">
        <v>199</v>
      </c>
      <c r="B6" s="3" t="s">
        <v>209</v>
      </c>
      <c r="C6" s="3" t="s">
        <v>195</v>
      </c>
    </row>
    <row r="7" spans="1:3" x14ac:dyDescent="0.25">
      <c r="A7" s="3" t="s">
        <v>200</v>
      </c>
      <c r="B7" s="3" t="s">
        <v>210</v>
      </c>
      <c r="C7" s="3" t="s">
        <v>195</v>
      </c>
    </row>
    <row r="8" spans="1:3" x14ac:dyDescent="0.25">
      <c r="A8" s="3" t="s">
        <v>201</v>
      </c>
      <c r="B8" s="3" t="s">
        <v>245</v>
      </c>
      <c r="C8" s="3" t="s">
        <v>195</v>
      </c>
    </row>
    <row r="9" spans="1:3" x14ac:dyDescent="0.25">
      <c r="A9" s="3" t="s">
        <v>202</v>
      </c>
      <c r="B9" s="3" t="s">
        <v>211</v>
      </c>
      <c r="C9" s="3" t="s">
        <v>195</v>
      </c>
    </row>
    <row r="10" spans="1:3" x14ac:dyDescent="0.25">
      <c r="A10" s="3" t="s">
        <v>203</v>
      </c>
      <c r="B10" s="3" t="s">
        <v>212</v>
      </c>
      <c r="C10" s="3" t="s">
        <v>195</v>
      </c>
    </row>
    <row r="11" spans="1:3" x14ac:dyDescent="0.25">
      <c r="A11" s="3" t="s">
        <v>204</v>
      </c>
      <c r="B11" s="3" t="s">
        <v>213</v>
      </c>
      <c r="C11" s="3" t="s">
        <v>195</v>
      </c>
    </row>
    <row r="12" spans="1:3" x14ac:dyDescent="0.25">
      <c r="A12" s="3" t="s">
        <v>205</v>
      </c>
      <c r="B12" s="3" t="s">
        <v>214</v>
      </c>
      <c r="C12" s="3" t="s">
        <v>195</v>
      </c>
    </row>
    <row r="13" spans="1:3" x14ac:dyDescent="0.25">
      <c r="A13" s="3" t="s">
        <v>206</v>
      </c>
      <c r="B13" s="3" t="s">
        <v>215</v>
      </c>
      <c r="C13" s="3" t="s">
        <v>195</v>
      </c>
    </row>
    <row r="14" spans="1:3" x14ac:dyDescent="0.25">
      <c r="A14" s="3" t="s">
        <v>207</v>
      </c>
      <c r="B14" s="3" t="s">
        <v>216</v>
      </c>
      <c r="C14" s="3" t="s">
        <v>195</v>
      </c>
    </row>
    <row r="15" spans="1:3" x14ac:dyDescent="0.25">
      <c r="A15" s="3" t="s">
        <v>208</v>
      </c>
      <c r="B15" s="3" t="s">
        <v>217</v>
      </c>
      <c r="C15" s="3" t="s">
        <v>195</v>
      </c>
    </row>
    <row r="16" spans="1:3" x14ac:dyDescent="0.25">
      <c r="A16" s="3" t="s">
        <v>218</v>
      </c>
      <c r="B16" s="3" t="s">
        <v>230</v>
      </c>
      <c r="C16" s="3" t="s">
        <v>231</v>
      </c>
    </row>
    <row r="17" spans="1:3" x14ac:dyDescent="0.25">
      <c r="A17" s="3" t="s">
        <v>219</v>
      </c>
      <c r="B17" s="3" t="s">
        <v>232</v>
      </c>
      <c r="C17" s="3" t="s">
        <v>231</v>
      </c>
    </row>
    <row r="18" spans="1:3" x14ac:dyDescent="0.25">
      <c r="A18" s="3" t="s">
        <v>220</v>
      </c>
      <c r="B18" s="3" t="s">
        <v>233</v>
      </c>
      <c r="C18" s="3" t="s">
        <v>231</v>
      </c>
    </row>
    <row r="19" spans="1:3" x14ac:dyDescent="0.25">
      <c r="A19" s="3" t="s">
        <v>221</v>
      </c>
      <c r="B19" s="3" t="s">
        <v>234</v>
      </c>
      <c r="C19" s="3" t="s">
        <v>231</v>
      </c>
    </row>
    <row r="20" spans="1:3" x14ac:dyDescent="0.25">
      <c r="A20" s="3" t="s">
        <v>222</v>
      </c>
      <c r="B20" s="3" t="s">
        <v>235</v>
      </c>
      <c r="C20" s="3" t="s">
        <v>231</v>
      </c>
    </row>
    <row r="21" spans="1:3" x14ac:dyDescent="0.25">
      <c r="A21" s="3" t="s">
        <v>223</v>
      </c>
      <c r="B21" s="3" t="s">
        <v>236</v>
      </c>
      <c r="C21" s="3" t="s">
        <v>231</v>
      </c>
    </row>
    <row r="22" spans="1:3" x14ac:dyDescent="0.25">
      <c r="A22" s="3" t="s">
        <v>224</v>
      </c>
      <c r="B22" s="3" t="s">
        <v>238</v>
      </c>
      <c r="C22" s="3" t="s">
        <v>231</v>
      </c>
    </row>
    <row r="23" spans="1:3" x14ac:dyDescent="0.25">
      <c r="A23" s="3" t="s">
        <v>225</v>
      </c>
      <c r="B23" s="3" t="s">
        <v>239</v>
      </c>
      <c r="C23" s="3" t="s">
        <v>231</v>
      </c>
    </row>
    <row r="24" spans="1:3" x14ac:dyDescent="0.25">
      <c r="A24" s="3" t="s">
        <v>226</v>
      </c>
      <c r="B24" s="3" t="s">
        <v>240</v>
      </c>
      <c r="C24" s="3" t="s">
        <v>231</v>
      </c>
    </row>
    <row r="25" spans="1:3" x14ac:dyDescent="0.25">
      <c r="A25" s="3" t="s">
        <v>227</v>
      </c>
      <c r="B25" s="3" t="s">
        <v>241</v>
      </c>
      <c r="C25" s="3" t="s">
        <v>231</v>
      </c>
    </row>
    <row r="26" spans="1:3" x14ac:dyDescent="0.25">
      <c r="A26" s="3" t="s">
        <v>228</v>
      </c>
      <c r="B26" s="3" t="s">
        <v>242</v>
      </c>
      <c r="C26" s="3" t="s">
        <v>231</v>
      </c>
    </row>
    <row r="27" spans="1:3" x14ac:dyDescent="0.25">
      <c r="A27" s="3" t="s">
        <v>229</v>
      </c>
      <c r="B27" s="3" t="s">
        <v>243</v>
      </c>
      <c r="C27" s="3" t="s">
        <v>231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716B-A2D5-4573-BDA4-586658A2693B}">
  <dimension ref="A1:C27"/>
  <sheetViews>
    <sheetView workbookViewId="0">
      <selection activeCell="A2" sqref="A2"/>
    </sheetView>
  </sheetViews>
  <sheetFormatPr defaultRowHeight="15" x14ac:dyDescent="0.25"/>
  <cols>
    <col min="1" max="1" width="12.7109375" customWidth="1"/>
    <col min="2" max="2" width="27.28515625" bestFit="1" customWidth="1"/>
    <col min="3" max="3" width="10.7109375" customWidth="1"/>
    <col min="7" max="7" width="11" customWidth="1"/>
  </cols>
  <sheetData>
    <row r="1" spans="1:3" x14ac:dyDescent="0.25">
      <c r="A1" t="s">
        <v>188</v>
      </c>
      <c r="B1" t="s">
        <v>182</v>
      </c>
      <c r="C1" t="s">
        <v>189</v>
      </c>
    </row>
    <row r="2" spans="1:3" x14ac:dyDescent="0.25">
      <c r="A2" t="s">
        <v>191</v>
      </c>
      <c r="B2" t="s">
        <v>194</v>
      </c>
      <c r="C2" t="s">
        <v>195</v>
      </c>
    </row>
    <row r="3" spans="1:3" x14ac:dyDescent="0.25">
      <c r="A3" t="s">
        <v>192</v>
      </c>
      <c r="B3" t="s">
        <v>196</v>
      </c>
      <c r="C3" t="s">
        <v>195</v>
      </c>
    </row>
    <row r="4" spans="1:3" x14ac:dyDescent="0.25">
      <c r="A4" t="s">
        <v>193</v>
      </c>
      <c r="B4" t="s">
        <v>197</v>
      </c>
      <c r="C4" t="s">
        <v>195</v>
      </c>
    </row>
    <row r="5" spans="1:3" x14ac:dyDescent="0.25">
      <c r="A5" t="s">
        <v>198</v>
      </c>
      <c r="B5" t="s">
        <v>237</v>
      </c>
      <c r="C5" t="s">
        <v>195</v>
      </c>
    </row>
    <row r="6" spans="1:3" x14ac:dyDescent="0.25">
      <c r="A6" t="s">
        <v>199</v>
      </c>
      <c r="B6" t="s">
        <v>209</v>
      </c>
      <c r="C6" t="s">
        <v>195</v>
      </c>
    </row>
    <row r="7" spans="1:3" x14ac:dyDescent="0.25">
      <c r="A7" t="s">
        <v>200</v>
      </c>
      <c r="B7" t="s">
        <v>210</v>
      </c>
      <c r="C7" t="s">
        <v>195</v>
      </c>
    </row>
    <row r="8" spans="1:3" x14ac:dyDescent="0.25">
      <c r="A8" t="s">
        <v>201</v>
      </c>
      <c r="B8" t="s">
        <v>245</v>
      </c>
      <c r="C8" t="s">
        <v>195</v>
      </c>
    </row>
    <row r="9" spans="1:3" x14ac:dyDescent="0.25">
      <c r="A9" t="s">
        <v>202</v>
      </c>
      <c r="B9" t="s">
        <v>211</v>
      </c>
      <c r="C9" t="s">
        <v>195</v>
      </c>
    </row>
    <row r="10" spans="1:3" x14ac:dyDescent="0.25">
      <c r="A10" t="s">
        <v>203</v>
      </c>
      <c r="B10" t="s">
        <v>212</v>
      </c>
      <c r="C10" t="s">
        <v>195</v>
      </c>
    </row>
    <row r="11" spans="1:3" x14ac:dyDescent="0.25">
      <c r="A11" t="s">
        <v>204</v>
      </c>
      <c r="B11" t="s">
        <v>213</v>
      </c>
      <c r="C11" t="s">
        <v>195</v>
      </c>
    </row>
    <row r="12" spans="1:3" x14ac:dyDescent="0.25">
      <c r="A12" t="s">
        <v>205</v>
      </c>
      <c r="B12" t="s">
        <v>214</v>
      </c>
      <c r="C12" t="s">
        <v>195</v>
      </c>
    </row>
    <row r="13" spans="1:3" x14ac:dyDescent="0.25">
      <c r="A13" t="s">
        <v>206</v>
      </c>
      <c r="B13" t="s">
        <v>215</v>
      </c>
      <c r="C13" t="s">
        <v>195</v>
      </c>
    </row>
    <row r="14" spans="1:3" x14ac:dyDescent="0.25">
      <c r="A14" t="s">
        <v>207</v>
      </c>
      <c r="B14" t="s">
        <v>216</v>
      </c>
      <c r="C14" t="s">
        <v>195</v>
      </c>
    </row>
    <row r="15" spans="1:3" x14ac:dyDescent="0.25">
      <c r="A15" t="s">
        <v>208</v>
      </c>
      <c r="B15" t="s">
        <v>217</v>
      </c>
      <c r="C15" t="s">
        <v>195</v>
      </c>
    </row>
    <row r="16" spans="1:3" x14ac:dyDescent="0.25">
      <c r="A16" t="s">
        <v>218</v>
      </c>
      <c r="B16" t="s">
        <v>230</v>
      </c>
      <c r="C16" t="s">
        <v>231</v>
      </c>
    </row>
    <row r="17" spans="1:3" x14ac:dyDescent="0.25">
      <c r="A17" t="s">
        <v>219</v>
      </c>
      <c r="B17" t="s">
        <v>232</v>
      </c>
      <c r="C17" t="s">
        <v>231</v>
      </c>
    </row>
    <row r="18" spans="1:3" x14ac:dyDescent="0.25">
      <c r="A18" t="s">
        <v>220</v>
      </c>
      <c r="B18" t="s">
        <v>233</v>
      </c>
      <c r="C18" t="s">
        <v>231</v>
      </c>
    </row>
    <row r="19" spans="1:3" x14ac:dyDescent="0.25">
      <c r="A19" t="s">
        <v>221</v>
      </c>
      <c r="B19" t="s">
        <v>234</v>
      </c>
      <c r="C19" t="s">
        <v>231</v>
      </c>
    </row>
    <row r="20" spans="1:3" x14ac:dyDescent="0.25">
      <c r="A20" t="s">
        <v>222</v>
      </c>
      <c r="B20" t="s">
        <v>235</v>
      </c>
      <c r="C20" t="s">
        <v>231</v>
      </c>
    </row>
    <row r="21" spans="1:3" x14ac:dyDescent="0.25">
      <c r="A21" t="s">
        <v>223</v>
      </c>
      <c r="B21" t="s">
        <v>236</v>
      </c>
      <c r="C21" t="s">
        <v>231</v>
      </c>
    </row>
    <row r="22" spans="1:3" x14ac:dyDescent="0.25">
      <c r="A22" t="s">
        <v>224</v>
      </c>
      <c r="B22" t="s">
        <v>238</v>
      </c>
      <c r="C22" t="s">
        <v>231</v>
      </c>
    </row>
    <row r="23" spans="1:3" x14ac:dyDescent="0.25">
      <c r="A23" t="s">
        <v>225</v>
      </c>
      <c r="B23" t="s">
        <v>239</v>
      </c>
      <c r="C23" t="s">
        <v>231</v>
      </c>
    </row>
    <row r="24" spans="1:3" x14ac:dyDescent="0.25">
      <c r="A24" t="s">
        <v>226</v>
      </c>
      <c r="B24" t="s">
        <v>240</v>
      </c>
      <c r="C24" t="s">
        <v>231</v>
      </c>
    </row>
    <row r="25" spans="1:3" x14ac:dyDescent="0.25">
      <c r="A25" t="s">
        <v>227</v>
      </c>
      <c r="B25" t="s">
        <v>241</v>
      </c>
      <c r="C25" t="s">
        <v>231</v>
      </c>
    </row>
    <row r="26" spans="1:3" x14ac:dyDescent="0.25">
      <c r="A26" t="s">
        <v>228</v>
      </c>
      <c r="B26" t="s">
        <v>242</v>
      </c>
      <c r="C26" t="s">
        <v>231</v>
      </c>
    </row>
    <row r="27" spans="1:3" x14ac:dyDescent="0.25">
      <c r="A27" t="s">
        <v>229</v>
      </c>
      <c r="B27" t="s">
        <v>243</v>
      </c>
      <c r="C27" t="s">
        <v>231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52AD-7571-4971-B059-63ED31AFFFC7}">
  <dimension ref="A1:M66"/>
  <sheetViews>
    <sheetView topLeftCell="A55" workbookViewId="0">
      <selection activeCell="H30" sqref="H30"/>
    </sheetView>
  </sheetViews>
  <sheetFormatPr defaultRowHeight="15" x14ac:dyDescent="0.25"/>
  <cols>
    <col min="1" max="1" width="11.28515625" bestFit="1" customWidth="1"/>
    <col min="2" max="2" width="13.140625" bestFit="1" customWidth="1"/>
    <col min="3" max="3" width="13.28515625" customWidth="1"/>
    <col min="4" max="4" width="27.28515625" bestFit="1" customWidth="1"/>
    <col min="5" max="5" width="11" bestFit="1" customWidth="1"/>
    <col min="6" max="6" width="8.140625" bestFit="1" customWidth="1"/>
    <col min="7" max="7" width="11" bestFit="1" customWidth="1"/>
    <col min="8" max="8" width="23.140625" bestFit="1" customWidth="1"/>
    <col min="9" max="9" width="6.7109375" bestFit="1" customWidth="1"/>
    <col min="10" max="10" width="18.28515625" bestFit="1" customWidth="1"/>
    <col min="11" max="11" width="24.28515625" bestFit="1" customWidth="1"/>
    <col min="12" max="12" width="17.140625" bestFit="1" customWidth="1"/>
    <col min="13" max="13" width="23" bestFit="1" customWidth="1"/>
  </cols>
  <sheetData>
    <row r="1" spans="1:13" x14ac:dyDescent="0.25">
      <c r="A1" t="s">
        <v>0</v>
      </c>
      <c r="B1" t="s">
        <v>1</v>
      </c>
      <c r="C1" t="s">
        <v>190</v>
      </c>
      <c r="D1" t="s">
        <v>182</v>
      </c>
      <c r="E1" t="s">
        <v>244</v>
      </c>
      <c r="F1" t="s">
        <v>183</v>
      </c>
      <c r="G1" t="s">
        <v>184</v>
      </c>
      <c r="H1" t="s">
        <v>185</v>
      </c>
      <c r="I1" t="s">
        <v>177</v>
      </c>
      <c r="J1" t="s">
        <v>186</v>
      </c>
      <c r="K1" t="s">
        <v>178</v>
      </c>
      <c r="L1" t="s">
        <v>187</v>
      </c>
      <c r="M1" t="s">
        <v>249</v>
      </c>
    </row>
    <row r="2" spans="1:13" x14ac:dyDescent="0.25">
      <c r="A2">
        <v>318778</v>
      </c>
      <c r="B2" s="1">
        <v>46082</v>
      </c>
      <c r="C2" s="3" t="s">
        <v>218</v>
      </c>
      <c r="D2" s="3" t="s">
        <v>230</v>
      </c>
      <c r="E2">
        <v>1</v>
      </c>
      <c r="F2">
        <v>120</v>
      </c>
      <c r="G2">
        <v>0</v>
      </c>
      <c r="H2">
        <v>120</v>
      </c>
      <c r="I2">
        <v>6</v>
      </c>
      <c r="J2">
        <v>29</v>
      </c>
      <c r="K2">
        <v>155</v>
      </c>
      <c r="L2" s="3" t="s">
        <v>180</v>
      </c>
      <c r="M2" s="3" t="s">
        <v>231</v>
      </c>
    </row>
    <row r="3" spans="1:13" x14ac:dyDescent="0.25">
      <c r="A3">
        <v>324493</v>
      </c>
      <c r="B3" s="1">
        <v>46118</v>
      </c>
      <c r="C3" s="3" t="s">
        <v>218</v>
      </c>
      <c r="D3" s="3" t="s">
        <v>230</v>
      </c>
      <c r="E3">
        <v>3</v>
      </c>
      <c r="F3">
        <v>320</v>
      </c>
      <c r="G3">
        <v>0</v>
      </c>
      <c r="H3">
        <v>320</v>
      </c>
      <c r="I3">
        <v>16</v>
      </c>
      <c r="J3">
        <v>17</v>
      </c>
      <c r="K3">
        <v>353</v>
      </c>
      <c r="L3" s="3" t="s">
        <v>180</v>
      </c>
      <c r="M3" s="3" t="s">
        <v>231</v>
      </c>
    </row>
    <row r="4" spans="1:13" x14ac:dyDescent="0.25">
      <c r="A4">
        <v>324996</v>
      </c>
      <c r="B4" s="1">
        <v>46121</v>
      </c>
      <c r="C4" s="3" t="s">
        <v>218</v>
      </c>
      <c r="D4" s="3" t="s">
        <v>230</v>
      </c>
      <c r="E4">
        <v>1</v>
      </c>
      <c r="F4">
        <v>110</v>
      </c>
      <c r="G4">
        <v>0</v>
      </c>
      <c r="H4">
        <v>110</v>
      </c>
      <c r="I4">
        <v>5.5</v>
      </c>
      <c r="J4">
        <v>37</v>
      </c>
      <c r="K4">
        <v>152.5</v>
      </c>
      <c r="L4" s="3" t="s">
        <v>180</v>
      </c>
      <c r="M4" s="3" t="s">
        <v>231</v>
      </c>
    </row>
    <row r="5" spans="1:13" x14ac:dyDescent="0.25">
      <c r="A5">
        <v>325137</v>
      </c>
      <c r="B5" s="1">
        <v>46122</v>
      </c>
      <c r="C5" s="3" t="s">
        <v>218</v>
      </c>
      <c r="D5" s="3" t="s">
        <v>230</v>
      </c>
      <c r="E5">
        <v>1</v>
      </c>
      <c r="F5">
        <v>110</v>
      </c>
      <c r="G5">
        <v>0</v>
      </c>
      <c r="H5">
        <v>110</v>
      </c>
      <c r="I5">
        <v>5.5</v>
      </c>
      <c r="J5">
        <v>37</v>
      </c>
      <c r="K5">
        <v>152.5</v>
      </c>
      <c r="L5" s="3" t="s">
        <v>180</v>
      </c>
      <c r="M5" s="3" t="s">
        <v>231</v>
      </c>
    </row>
    <row r="6" spans="1:13" x14ac:dyDescent="0.25">
      <c r="A6">
        <v>325481</v>
      </c>
      <c r="B6" s="1">
        <v>46124</v>
      </c>
      <c r="C6" s="3" t="s">
        <v>218</v>
      </c>
      <c r="D6" s="3" t="s">
        <v>230</v>
      </c>
      <c r="E6">
        <v>2</v>
      </c>
      <c r="F6">
        <v>220</v>
      </c>
      <c r="G6">
        <v>0</v>
      </c>
      <c r="H6">
        <v>220</v>
      </c>
      <c r="I6">
        <v>11</v>
      </c>
      <c r="J6">
        <v>19</v>
      </c>
      <c r="K6">
        <v>250</v>
      </c>
      <c r="L6" s="3" t="s">
        <v>180</v>
      </c>
      <c r="M6" s="3" t="s">
        <v>231</v>
      </c>
    </row>
    <row r="7" spans="1:13" x14ac:dyDescent="0.25">
      <c r="A7">
        <v>321991</v>
      </c>
      <c r="B7" s="1">
        <v>46103</v>
      </c>
      <c r="C7" s="3" t="s">
        <v>191</v>
      </c>
      <c r="D7" s="3" t="s">
        <v>194</v>
      </c>
      <c r="E7">
        <v>1</v>
      </c>
      <c r="F7">
        <v>90</v>
      </c>
      <c r="G7">
        <v>0</v>
      </c>
      <c r="H7">
        <v>90</v>
      </c>
      <c r="I7">
        <v>4.5</v>
      </c>
      <c r="J7">
        <v>37</v>
      </c>
      <c r="K7">
        <v>131.5</v>
      </c>
      <c r="L7" s="3" t="s">
        <v>180</v>
      </c>
      <c r="M7" s="3" t="s">
        <v>195</v>
      </c>
    </row>
    <row r="8" spans="1:13" x14ac:dyDescent="0.25">
      <c r="A8">
        <v>318836</v>
      </c>
      <c r="B8" s="1">
        <v>46082</v>
      </c>
      <c r="C8" s="3" t="s">
        <v>225</v>
      </c>
      <c r="D8" s="3" t="s">
        <v>239</v>
      </c>
      <c r="E8">
        <v>2</v>
      </c>
      <c r="F8">
        <v>250</v>
      </c>
      <c r="G8">
        <v>0</v>
      </c>
      <c r="H8">
        <v>250</v>
      </c>
      <c r="I8">
        <v>12.5</v>
      </c>
      <c r="J8">
        <v>19</v>
      </c>
      <c r="K8">
        <v>281.5</v>
      </c>
      <c r="L8" s="3" t="s">
        <v>180</v>
      </c>
      <c r="M8" s="3" t="s">
        <v>231</v>
      </c>
    </row>
    <row r="9" spans="1:13" x14ac:dyDescent="0.25">
      <c r="A9">
        <v>324329</v>
      </c>
      <c r="B9" s="1">
        <v>46117</v>
      </c>
      <c r="C9" s="3" t="s">
        <v>192</v>
      </c>
      <c r="D9" s="3" t="s">
        <v>196</v>
      </c>
      <c r="E9">
        <v>1</v>
      </c>
      <c r="F9">
        <v>90</v>
      </c>
      <c r="G9">
        <v>0</v>
      </c>
      <c r="H9">
        <v>90</v>
      </c>
      <c r="I9">
        <v>4.5</v>
      </c>
      <c r="J9">
        <v>37</v>
      </c>
      <c r="K9">
        <v>131.5</v>
      </c>
      <c r="L9" s="3" t="s">
        <v>180</v>
      </c>
      <c r="M9" s="3" t="s">
        <v>195</v>
      </c>
    </row>
    <row r="10" spans="1:13" x14ac:dyDescent="0.25">
      <c r="A10">
        <v>321207</v>
      </c>
      <c r="B10" s="1">
        <v>46098</v>
      </c>
      <c r="C10" s="3" t="s">
        <v>201</v>
      </c>
      <c r="D10" s="3" t="s">
        <v>245</v>
      </c>
      <c r="E10">
        <v>2</v>
      </c>
      <c r="F10">
        <v>240</v>
      </c>
      <c r="G10">
        <v>0</v>
      </c>
      <c r="H10">
        <v>240</v>
      </c>
      <c r="I10">
        <v>12</v>
      </c>
      <c r="J10">
        <v>19</v>
      </c>
      <c r="K10">
        <v>271</v>
      </c>
      <c r="L10" s="3" t="s">
        <v>180</v>
      </c>
      <c r="M10" s="3" t="s">
        <v>195</v>
      </c>
    </row>
    <row r="11" spans="1:13" x14ac:dyDescent="0.25">
      <c r="A11">
        <v>321436</v>
      </c>
      <c r="B11" s="1">
        <v>46099</v>
      </c>
      <c r="C11" s="3" t="s">
        <v>204</v>
      </c>
      <c r="D11" s="3" t="s">
        <v>213</v>
      </c>
      <c r="E11">
        <v>1</v>
      </c>
      <c r="F11">
        <v>220</v>
      </c>
      <c r="G11">
        <v>0</v>
      </c>
      <c r="H11">
        <v>220</v>
      </c>
      <c r="I11">
        <v>11</v>
      </c>
      <c r="J11">
        <v>19</v>
      </c>
      <c r="K11">
        <v>250</v>
      </c>
      <c r="L11" s="3" t="s">
        <v>180</v>
      </c>
      <c r="M11" s="3" t="s">
        <v>195</v>
      </c>
    </row>
    <row r="12" spans="1:13" x14ac:dyDescent="0.25">
      <c r="A12">
        <v>321570</v>
      </c>
      <c r="B12" s="1">
        <v>46100</v>
      </c>
      <c r="C12" s="3" t="s">
        <v>229</v>
      </c>
      <c r="D12" s="3" t="s">
        <v>243</v>
      </c>
      <c r="E12">
        <v>2</v>
      </c>
      <c r="F12">
        <v>280</v>
      </c>
      <c r="G12">
        <v>0</v>
      </c>
      <c r="H12">
        <v>280</v>
      </c>
      <c r="I12">
        <v>14</v>
      </c>
      <c r="J12">
        <v>19</v>
      </c>
      <c r="K12">
        <v>313</v>
      </c>
      <c r="L12" s="3" t="s">
        <v>180</v>
      </c>
      <c r="M12" s="3" t="s">
        <v>231</v>
      </c>
    </row>
    <row r="13" spans="1:13" x14ac:dyDescent="0.25">
      <c r="A13">
        <v>323978</v>
      </c>
      <c r="B13" s="1">
        <v>46115</v>
      </c>
      <c r="C13" s="3" t="s">
        <v>229</v>
      </c>
      <c r="D13" s="3" t="s">
        <v>243</v>
      </c>
      <c r="E13">
        <v>2</v>
      </c>
      <c r="F13">
        <v>280</v>
      </c>
      <c r="G13">
        <v>0</v>
      </c>
      <c r="H13">
        <v>280</v>
      </c>
      <c r="I13">
        <v>14</v>
      </c>
      <c r="J13">
        <v>19</v>
      </c>
      <c r="K13">
        <v>313</v>
      </c>
      <c r="L13" s="3" t="s">
        <v>180</v>
      </c>
      <c r="M13" s="3" t="s">
        <v>231</v>
      </c>
    </row>
    <row r="14" spans="1:13" x14ac:dyDescent="0.25">
      <c r="A14">
        <v>324147</v>
      </c>
      <c r="B14" s="1">
        <v>46116</v>
      </c>
      <c r="C14" s="3" t="s">
        <v>199</v>
      </c>
      <c r="D14" s="3" t="s">
        <v>209</v>
      </c>
      <c r="E14">
        <v>1</v>
      </c>
      <c r="F14">
        <v>100</v>
      </c>
      <c r="G14">
        <v>0</v>
      </c>
      <c r="H14">
        <v>100</v>
      </c>
      <c r="I14">
        <v>5</v>
      </c>
      <c r="J14">
        <v>29</v>
      </c>
      <c r="K14">
        <v>134</v>
      </c>
      <c r="L14" s="3" t="s">
        <v>180</v>
      </c>
      <c r="M14" s="3" t="s">
        <v>195</v>
      </c>
    </row>
    <row r="15" spans="1:13" x14ac:dyDescent="0.25">
      <c r="A15">
        <v>321893</v>
      </c>
      <c r="B15" s="1">
        <v>46102</v>
      </c>
      <c r="C15" s="3" t="s">
        <v>221</v>
      </c>
      <c r="D15" s="3" t="s">
        <v>234</v>
      </c>
      <c r="E15">
        <v>1</v>
      </c>
      <c r="F15">
        <v>120</v>
      </c>
      <c r="G15">
        <v>0</v>
      </c>
      <c r="H15">
        <v>120</v>
      </c>
      <c r="I15">
        <v>6</v>
      </c>
      <c r="J15">
        <v>29</v>
      </c>
      <c r="K15">
        <v>155</v>
      </c>
      <c r="L15" s="3" t="s">
        <v>180</v>
      </c>
      <c r="M15" s="3" t="s">
        <v>231</v>
      </c>
    </row>
    <row r="16" spans="1:13" x14ac:dyDescent="0.25">
      <c r="A16">
        <v>322084</v>
      </c>
      <c r="B16" s="1">
        <v>46103</v>
      </c>
      <c r="C16" s="3" t="s">
        <v>200</v>
      </c>
      <c r="D16" s="3" t="s">
        <v>210</v>
      </c>
      <c r="E16">
        <v>2</v>
      </c>
      <c r="F16">
        <v>200</v>
      </c>
      <c r="G16">
        <v>0</v>
      </c>
      <c r="H16">
        <v>200</v>
      </c>
      <c r="I16">
        <v>10</v>
      </c>
      <c r="J16">
        <v>27</v>
      </c>
      <c r="K16">
        <v>237</v>
      </c>
      <c r="L16" s="3" t="s">
        <v>180</v>
      </c>
      <c r="M16" s="3" t="s">
        <v>195</v>
      </c>
    </row>
    <row r="17" spans="1:13" x14ac:dyDescent="0.25">
      <c r="A17">
        <v>323182</v>
      </c>
      <c r="B17" s="1">
        <v>46110</v>
      </c>
      <c r="C17" s="3" t="s">
        <v>202</v>
      </c>
      <c r="D17" s="3" t="s">
        <v>211</v>
      </c>
      <c r="E17">
        <v>2</v>
      </c>
      <c r="F17">
        <v>220</v>
      </c>
      <c r="G17">
        <v>0</v>
      </c>
      <c r="H17">
        <v>220</v>
      </c>
      <c r="I17">
        <v>11</v>
      </c>
      <c r="J17">
        <v>19</v>
      </c>
      <c r="K17">
        <v>250</v>
      </c>
      <c r="L17" s="3" t="s">
        <v>180</v>
      </c>
      <c r="M17" s="3" t="s">
        <v>195</v>
      </c>
    </row>
    <row r="18" spans="1:13" x14ac:dyDescent="0.25">
      <c r="A18">
        <v>322268</v>
      </c>
      <c r="B18" s="1">
        <v>46105</v>
      </c>
      <c r="C18" s="3" t="s">
        <v>227</v>
      </c>
      <c r="D18" s="3" t="s">
        <v>241</v>
      </c>
      <c r="E18">
        <v>3</v>
      </c>
      <c r="F18">
        <v>320</v>
      </c>
      <c r="G18">
        <v>0</v>
      </c>
      <c r="H18">
        <v>320</v>
      </c>
      <c r="I18">
        <v>16</v>
      </c>
      <c r="J18">
        <v>9</v>
      </c>
      <c r="K18">
        <v>345</v>
      </c>
      <c r="L18" s="3" t="s">
        <v>180</v>
      </c>
      <c r="M18" s="3" t="s">
        <v>231</v>
      </c>
    </row>
    <row r="19" spans="1:13" x14ac:dyDescent="0.25">
      <c r="A19">
        <v>322503</v>
      </c>
      <c r="B19" s="1">
        <v>46106</v>
      </c>
      <c r="C19" s="3" t="s">
        <v>203</v>
      </c>
      <c r="D19" s="3" t="s">
        <v>212</v>
      </c>
      <c r="E19">
        <v>3</v>
      </c>
      <c r="F19">
        <v>370</v>
      </c>
      <c r="G19">
        <v>0</v>
      </c>
      <c r="H19">
        <v>370</v>
      </c>
      <c r="I19">
        <v>18.5</v>
      </c>
      <c r="J19">
        <v>9</v>
      </c>
      <c r="K19">
        <v>397.5</v>
      </c>
      <c r="L19" s="3" t="s">
        <v>180</v>
      </c>
      <c r="M19" s="3" t="s">
        <v>195</v>
      </c>
    </row>
    <row r="20" spans="1:13" x14ac:dyDescent="0.25">
      <c r="A20">
        <v>322722</v>
      </c>
      <c r="B20" s="1">
        <v>46108</v>
      </c>
      <c r="C20" s="3" t="s">
        <v>207</v>
      </c>
      <c r="D20" s="3" t="s">
        <v>216</v>
      </c>
      <c r="E20">
        <v>1</v>
      </c>
      <c r="F20">
        <v>110</v>
      </c>
      <c r="G20">
        <v>0</v>
      </c>
      <c r="H20">
        <v>110</v>
      </c>
      <c r="I20">
        <v>5.5</v>
      </c>
      <c r="J20">
        <v>53</v>
      </c>
      <c r="K20">
        <v>168.5</v>
      </c>
      <c r="L20" s="3" t="s">
        <v>180</v>
      </c>
      <c r="M20" s="3" t="s">
        <v>195</v>
      </c>
    </row>
    <row r="21" spans="1:13" x14ac:dyDescent="0.25">
      <c r="A21">
        <v>323894</v>
      </c>
      <c r="B21" s="1">
        <v>46115</v>
      </c>
      <c r="C21" s="3" t="s">
        <v>205</v>
      </c>
      <c r="D21" s="3" t="s">
        <v>214</v>
      </c>
      <c r="E21">
        <v>3</v>
      </c>
      <c r="F21">
        <v>350</v>
      </c>
      <c r="G21">
        <v>0</v>
      </c>
      <c r="H21">
        <v>350</v>
      </c>
      <c r="I21">
        <v>17.5</v>
      </c>
      <c r="J21">
        <v>17</v>
      </c>
      <c r="K21">
        <v>384.5</v>
      </c>
      <c r="L21" s="3" t="s">
        <v>180</v>
      </c>
      <c r="M21" s="3" t="s">
        <v>195</v>
      </c>
    </row>
    <row r="22" spans="1:13" x14ac:dyDescent="0.25">
      <c r="A22">
        <v>323084</v>
      </c>
      <c r="B22" s="1">
        <v>46110</v>
      </c>
      <c r="C22" s="3" t="s">
        <v>226</v>
      </c>
      <c r="D22" s="3" t="s">
        <v>240</v>
      </c>
      <c r="E22">
        <v>2</v>
      </c>
      <c r="F22">
        <v>210</v>
      </c>
      <c r="G22">
        <v>0</v>
      </c>
      <c r="H22">
        <v>210</v>
      </c>
      <c r="I22">
        <v>10.5</v>
      </c>
      <c r="J22">
        <v>27</v>
      </c>
      <c r="K22">
        <v>247.5</v>
      </c>
      <c r="L22" s="3" t="s">
        <v>180</v>
      </c>
      <c r="M22" s="3" t="s">
        <v>231</v>
      </c>
    </row>
    <row r="23" spans="1:13" x14ac:dyDescent="0.25">
      <c r="A23">
        <v>324793</v>
      </c>
      <c r="B23" s="1">
        <v>46120</v>
      </c>
      <c r="C23" s="3" t="s">
        <v>208</v>
      </c>
      <c r="D23" s="3" t="s">
        <v>217</v>
      </c>
      <c r="E23">
        <v>2</v>
      </c>
      <c r="F23">
        <v>190</v>
      </c>
      <c r="G23">
        <v>0</v>
      </c>
      <c r="H23">
        <v>190</v>
      </c>
      <c r="I23">
        <v>9.5</v>
      </c>
      <c r="J23">
        <v>19</v>
      </c>
      <c r="K23">
        <v>218.5</v>
      </c>
      <c r="L23" s="3" t="s">
        <v>180</v>
      </c>
      <c r="M23" s="3" t="s">
        <v>195</v>
      </c>
    </row>
    <row r="24" spans="1:13" x14ac:dyDescent="0.25">
      <c r="A24">
        <v>324184</v>
      </c>
      <c r="B24" s="1">
        <v>46116</v>
      </c>
      <c r="C24" s="3" t="s">
        <v>219</v>
      </c>
      <c r="D24" s="3" t="s">
        <v>232</v>
      </c>
      <c r="E24">
        <v>2</v>
      </c>
      <c r="F24">
        <v>230</v>
      </c>
      <c r="G24">
        <v>0</v>
      </c>
      <c r="H24">
        <v>230</v>
      </c>
      <c r="I24">
        <v>11.5</v>
      </c>
      <c r="J24">
        <v>27</v>
      </c>
      <c r="K24">
        <v>268.5</v>
      </c>
      <c r="L24" s="3" t="s">
        <v>180</v>
      </c>
      <c r="M24" s="3" t="s">
        <v>231</v>
      </c>
    </row>
    <row r="25" spans="1:13" x14ac:dyDescent="0.25">
      <c r="A25">
        <v>324997</v>
      </c>
      <c r="B25" s="1">
        <v>46121</v>
      </c>
      <c r="C25" s="3" t="s">
        <v>219</v>
      </c>
      <c r="D25" s="3" t="s">
        <v>232</v>
      </c>
      <c r="E25">
        <v>2</v>
      </c>
      <c r="F25">
        <v>220</v>
      </c>
      <c r="G25">
        <v>0</v>
      </c>
      <c r="H25">
        <v>220</v>
      </c>
      <c r="I25">
        <v>11</v>
      </c>
      <c r="J25">
        <v>19</v>
      </c>
      <c r="K25">
        <v>250</v>
      </c>
      <c r="L25" s="3" t="s">
        <v>180</v>
      </c>
      <c r="M25" s="3" t="s">
        <v>231</v>
      </c>
    </row>
    <row r="26" spans="1:13" x14ac:dyDescent="0.25">
      <c r="A26">
        <v>325280</v>
      </c>
      <c r="B26" s="1">
        <v>46123</v>
      </c>
      <c r="C26" s="3" t="s">
        <v>220</v>
      </c>
      <c r="D26" s="3" t="s">
        <v>233</v>
      </c>
      <c r="E26">
        <v>2</v>
      </c>
      <c r="F26">
        <v>220</v>
      </c>
      <c r="G26">
        <v>0</v>
      </c>
      <c r="H26">
        <v>220</v>
      </c>
      <c r="I26">
        <v>11</v>
      </c>
      <c r="J26">
        <v>19</v>
      </c>
      <c r="K26">
        <v>250</v>
      </c>
      <c r="L26" s="3" t="s">
        <v>180</v>
      </c>
      <c r="M26" s="3" t="s">
        <v>231</v>
      </c>
    </row>
    <row r="27" spans="1:13" x14ac:dyDescent="0.25">
      <c r="A27">
        <v>324804</v>
      </c>
      <c r="B27" s="1">
        <v>46120</v>
      </c>
      <c r="C27" s="3" t="s">
        <v>222</v>
      </c>
      <c r="D27" s="3" t="s">
        <v>235</v>
      </c>
      <c r="E27">
        <v>2</v>
      </c>
      <c r="F27">
        <v>220</v>
      </c>
      <c r="G27">
        <v>0</v>
      </c>
      <c r="H27">
        <v>220</v>
      </c>
      <c r="I27">
        <v>11</v>
      </c>
      <c r="J27">
        <v>19</v>
      </c>
      <c r="K27">
        <v>250</v>
      </c>
      <c r="L27" s="3" t="s">
        <v>180</v>
      </c>
      <c r="M27" s="3" t="s">
        <v>231</v>
      </c>
    </row>
    <row r="28" spans="1:13" x14ac:dyDescent="0.25">
      <c r="A28">
        <v>325701</v>
      </c>
      <c r="B28" s="1">
        <v>46126</v>
      </c>
      <c r="C28" s="3" t="s">
        <v>228</v>
      </c>
      <c r="D28" s="3" t="s">
        <v>242</v>
      </c>
      <c r="E28">
        <v>3</v>
      </c>
      <c r="F28">
        <v>390</v>
      </c>
      <c r="G28">
        <v>0</v>
      </c>
      <c r="H28">
        <v>390</v>
      </c>
      <c r="I28">
        <v>19.5</v>
      </c>
      <c r="J28">
        <v>9</v>
      </c>
      <c r="K28">
        <v>418.5</v>
      </c>
      <c r="L28" s="3" t="s">
        <v>180</v>
      </c>
      <c r="M28" s="3" t="s">
        <v>231</v>
      </c>
    </row>
    <row r="29" spans="1:13" x14ac:dyDescent="0.25">
      <c r="A29">
        <v>325779</v>
      </c>
      <c r="B29" s="1">
        <v>46126</v>
      </c>
      <c r="C29" s="3" t="s">
        <v>219</v>
      </c>
      <c r="D29" s="3" t="s">
        <v>232</v>
      </c>
      <c r="E29">
        <v>1</v>
      </c>
      <c r="F29">
        <v>120</v>
      </c>
      <c r="G29">
        <v>0</v>
      </c>
      <c r="H29">
        <v>120</v>
      </c>
      <c r="I29">
        <v>6</v>
      </c>
      <c r="J29">
        <v>29</v>
      </c>
      <c r="K29">
        <v>155</v>
      </c>
      <c r="L29" s="3" t="s">
        <v>180</v>
      </c>
      <c r="M29" s="3" t="s">
        <v>231</v>
      </c>
    </row>
    <row r="30" spans="1:13" x14ac:dyDescent="0.25">
      <c r="A30">
        <v>325892</v>
      </c>
      <c r="B30" s="1">
        <v>46127</v>
      </c>
      <c r="C30" s="3" t="s">
        <v>199</v>
      </c>
      <c r="D30" s="3" t="s">
        <v>209</v>
      </c>
      <c r="E30">
        <v>1</v>
      </c>
      <c r="F30">
        <v>110</v>
      </c>
      <c r="G30">
        <v>0</v>
      </c>
      <c r="H30">
        <v>110</v>
      </c>
      <c r="I30">
        <v>5.5</v>
      </c>
      <c r="J30">
        <v>29</v>
      </c>
      <c r="K30">
        <v>144.5</v>
      </c>
      <c r="L30" s="3" t="s">
        <v>180</v>
      </c>
      <c r="M30" s="3" t="s">
        <v>195</v>
      </c>
    </row>
    <row r="31" spans="1:13" x14ac:dyDescent="0.25">
      <c r="A31">
        <v>325900</v>
      </c>
      <c r="B31" s="1">
        <v>46127</v>
      </c>
      <c r="C31" s="3" t="s">
        <v>219</v>
      </c>
      <c r="D31" s="3" t="s">
        <v>232</v>
      </c>
      <c r="E31">
        <v>2</v>
      </c>
      <c r="F31">
        <v>220</v>
      </c>
      <c r="G31">
        <v>0</v>
      </c>
      <c r="H31">
        <v>220</v>
      </c>
      <c r="I31">
        <v>11</v>
      </c>
      <c r="J31">
        <v>19</v>
      </c>
      <c r="K31">
        <v>250</v>
      </c>
      <c r="L31" s="3" t="s">
        <v>180</v>
      </c>
      <c r="M31" s="3" t="s">
        <v>231</v>
      </c>
    </row>
    <row r="32" spans="1:13" x14ac:dyDescent="0.25">
      <c r="A32">
        <v>326228</v>
      </c>
      <c r="B32" s="1">
        <v>46129</v>
      </c>
      <c r="C32" s="3" t="s">
        <v>218</v>
      </c>
      <c r="D32" s="3" t="s">
        <v>230</v>
      </c>
      <c r="E32">
        <v>1</v>
      </c>
      <c r="F32">
        <v>120</v>
      </c>
      <c r="G32">
        <v>0</v>
      </c>
      <c r="H32">
        <v>120</v>
      </c>
      <c r="I32">
        <v>6</v>
      </c>
      <c r="J32">
        <v>29</v>
      </c>
      <c r="K32">
        <v>155</v>
      </c>
      <c r="L32" s="3" t="s">
        <v>180</v>
      </c>
      <c r="M32" s="3" t="s">
        <v>231</v>
      </c>
    </row>
    <row r="33" spans="1:13" x14ac:dyDescent="0.25">
      <c r="A33">
        <v>326792</v>
      </c>
      <c r="B33" s="1">
        <v>46132</v>
      </c>
      <c r="C33" s="3" t="s">
        <v>224</v>
      </c>
      <c r="D33" s="3" t="s">
        <v>238</v>
      </c>
      <c r="E33">
        <v>1</v>
      </c>
      <c r="F33">
        <v>140</v>
      </c>
      <c r="G33">
        <v>0</v>
      </c>
      <c r="H33">
        <v>140</v>
      </c>
      <c r="I33">
        <v>7</v>
      </c>
      <c r="J33">
        <v>29</v>
      </c>
      <c r="K33">
        <v>176</v>
      </c>
      <c r="L33" s="3" t="s">
        <v>180</v>
      </c>
      <c r="M33" s="3" t="s">
        <v>231</v>
      </c>
    </row>
    <row r="34" spans="1:13" x14ac:dyDescent="0.25">
      <c r="A34">
        <v>326837</v>
      </c>
      <c r="B34" s="1">
        <v>46132</v>
      </c>
      <c r="C34" s="3" t="s">
        <v>227</v>
      </c>
      <c r="D34" s="3" t="s">
        <v>241</v>
      </c>
      <c r="E34">
        <v>2</v>
      </c>
      <c r="F34">
        <v>240</v>
      </c>
      <c r="G34">
        <v>0</v>
      </c>
      <c r="H34">
        <v>240</v>
      </c>
      <c r="I34">
        <v>12</v>
      </c>
      <c r="J34">
        <v>19</v>
      </c>
      <c r="K34">
        <v>271</v>
      </c>
      <c r="L34" s="3" t="s">
        <v>180</v>
      </c>
      <c r="M34" s="3" t="s">
        <v>231</v>
      </c>
    </row>
    <row r="35" spans="1:13" x14ac:dyDescent="0.25">
      <c r="A35">
        <v>327211</v>
      </c>
      <c r="B35" s="1">
        <v>46134</v>
      </c>
      <c r="C35" s="3" t="s">
        <v>218</v>
      </c>
      <c r="D35" s="3" t="s">
        <v>230</v>
      </c>
      <c r="E35">
        <v>1</v>
      </c>
      <c r="F35">
        <v>120</v>
      </c>
      <c r="G35">
        <v>0</v>
      </c>
      <c r="H35">
        <v>120</v>
      </c>
      <c r="I35">
        <v>6</v>
      </c>
      <c r="J35">
        <v>29</v>
      </c>
      <c r="K35">
        <v>155</v>
      </c>
      <c r="L35" s="3" t="s">
        <v>180</v>
      </c>
      <c r="M35" s="3" t="s">
        <v>231</v>
      </c>
    </row>
    <row r="36" spans="1:13" x14ac:dyDescent="0.25">
      <c r="A36">
        <v>327332</v>
      </c>
      <c r="B36" s="1">
        <v>46135</v>
      </c>
      <c r="C36" s="3" t="s">
        <v>201</v>
      </c>
      <c r="D36" s="3" t="s">
        <v>245</v>
      </c>
      <c r="E36">
        <v>1</v>
      </c>
      <c r="F36">
        <v>130</v>
      </c>
      <c r="G36">
        <v>0</v>
      </c>
      <c r="H36">
        <v>130</v>
      </c>
      <c r="I36">
        <v>6.5</v>
      </c>
      <c r="J36">
        <v>45</v>
      </c>
      <c r="K36">
        <v>181.5</v>
      </c>
      <c r="L36" s="3" t="s">
        <v>180</v>
      </c>
      <c r="M36" s="3" t="s">
        <v>195</v>
      </c>
    </row>
    <row r="37" spans="1:13" x14ac:dyDescent="0.25">
      <c r="A37">
        <v>327527</v>
      </c>
      <c r="B37" s="1">
        <v>46136</v>
      </c>
      <c r="C37" s="3" t="s">
        <v>228</v>
      </c>
      <c r="D37" s="3" t="s">
        <v>242</v>
      </c>
      <c r="E37">
        <v>1</v>
      </c>
      <c r="F37">
        <v>130</v>
      </c>
      <c r="G37">
        <v>0</v>
      </c>
      <c r="H37">
        <v>130</v>
      </c>
      <c r="I37">
        <v>6.5</v>
      </c>
      <c r="J37">
        <v>29</v>
      </c>
      <c r="K37">
        <v>165.5</v>
      </c>
      <c r="L37" s="3" t="s">
        <v>180</v>
      </c>
      <c r="M37" s="3" t="s">
        <v>231</v>
      </c>
    </row>
    <row r="38" spans="1:13" x14ac:dyDescent="0.25">
      <c r="A38">
        <v>327625</v>
      </c>
      <c r="B38" s="1">
        <v>46137</v>
      </c>
      <c r="C38" s="3" t="s">
        <v>219</v>
      </c>
      <c r="D38" s="3" t="s">
        <v>232</v>
      </c>
      <c r="E38">
        <v>1</v>
      </c>
      <c r="F38">
        <v>120</v>
      </c>
      <c r="G38">
        <v>0</v>
      </c>
      <c r="H38">
        <v>120</v>
      </c>
      <c r="I38">
        <v>6</v>
      </c>
      <c r="J38">
        <v>29</v>
      </c>
      <c r="K38">
        <v>155</v>
      </c>
      <c r="L38" s="3" t="s">
        <v>180</v>
      </c>
      <c r="M38" s="3" t="s">
        <v>231</v>
      </c>
    </row>
    <row r="39" spans="1:13" x14ac:dyDescent="0.25">
      <c r="A39">
        <v>327972</v>
      </c>
      <c r="B39" s="1">
        <v>46139</v>
      </c>
      <c r="C39" s="3" t="s">
        <v>222</v>
      </c>
      <c r="D39" s="3" t="s">
        <v>235</v>
      </c>
      <c r="E39">
        <v>2</v>
      </c>
      <c r="F39">
        <v>230</v>
      </c>
      <c r="G39">
        <v>0</v>
      </c>
      <c r="H39">
        <v>230</v>
      </c>
      <c r="I39">
        <v>11.5</v>
      </c>
      <c r="J39">
        <v>19</v>
      </c>
      <c r="K39">
        <v>260.5</v>
      </c>
      <c r="L39" s="3" t="s">
        <v>180</v>
      </c>
      <c r="M39" s="3" t="s">
        <v>231</v>
      </c>
    </row>
    <row r="40" spans="1:13" x14ac:dyDescent="0.25">
      <c r="A40">
        <v>328099</v>
      </c>
      <c r="B40" s="1">
        <v>46140</v>
      </c>
      <c r="C40" s="3" t="s">
        <v>218</v>
      </c>
      <c r="D40" s="3" t="s">
        <v>230</v>
      </c>
      <c r="E40">
        <v>1</v>
      </c>
      <c r="F40">
        <v>130</v>
      </c>
      <c r="G40">
        <v>0</v>
      </c>
      <c r="H40">
        <v>130</v>
      </c>
      <c r="I40">
        <v>6.5</v>
      </c>
      <c r="J40">
        <v>29</v>
      </c>
      <c r="K40">
        <v>165.5</v>
      </c>
      <c r="L40" s="3" t="s">
        <v>180</v>
      </c>
      <c r="M40" s="3" t="s">
        <v>231</v>
      </c>
    </row>
    <row r="41" spans="1:13" x14ac:dyDescent="0.25">
      <c r="A41">
        <v>328498</v>
      </c>
      <c r="B41" s="1">
        <v>46142</v>
      </c>
      <c r="C41" s="3" t="s">
        <v>193</v>
      </c>
      <c r="D41" s="3" t="s">
        <v>197</v>
      </c>
      <c r="E41">
        <v>2</v>
      </c>
      <c r="F41">
        <v>200</v>
      </c>
      <c r="G41">
        <v>0</v>
      </c>
      <c r="H41">
        <v>200</v>
      </c>
      <c r="I41">
        <v>10</v>
      </c>
      <c r="J41">
        <v>19</v>
      </c>
      <c r="K41">
        <v>229</v>
      </c>
      <c r="L41" s="3" t="s">
        <v>180</v>
      </c>
      <c r="M41" s="3" t="s">
        <v>195</v>
      </c>
    </row>
    <row r="42" spans="1:13" x14ac:dyDescent="0.25">
      <c r="A42">
        <v>328603</v>
      </c>
      <c r="B42" s="1">
        <v>46142</v>
      </c>
      <c r="C42" s="3" t="s">
        <v>220</v>
      </c>
      <c r="D42" s="3" t="s">
        <v>233</v>
      </c>
      <c r="E42">
        <v>2</v>
      </c>
      <c r="F42">
        <v>260</v>
      </c>
      <c r="G42">
        <v>0</v>
      </c>
      <c r="H42">
        <v>260</v>
      </c>
      <c r="I42">
        <v>13</v>
      </c>
      <c r="J42">
        <v>27</v>
      </c>
      <c r="K42">
        <v>300</v>
      </c>
      <c r="L42" s="3" t="s">
        <v>180</v>
      </c>
      <c r="M42" s="3" t="s">
        <v>231</v>
      </c>
    </row>
    <row r="43" spans="1:13" x14ac:dyDescent="0.25">
      <c r="A43">
        <v>328687</v>
      </c>
      <c r="B43" s="1">
        <v>46143</v>
      </c>
      <c r="C43" s="3" t="s">
        <v>200</v>
      </c>
      <c r="D43" s="3" t="s">
        <v>210</v>
      </c>
      <c r="E43">
        <v>1</v>
      </c>
      <c r="F43">
        <v>110</v>
      </c>
      <c r="G43">
        <v>0</v>
      </c>
      <c r="H43">
        <v>110</v>
      </c>
      <c r="I43">
        <v>5.5</v>
      </c>
      <c r="J43">
        <v>37</v>
      </c>
      <c r="K43">
        <v>152.5</v>
      </c>
      <c r="L43" s="3" t="s">
        <v>180</v>
      </c>
      <c r="M43" s="3" t="s">
        <v>195</v>
      </c>
    </row>
    <row r="44" spans="1:13" x14ac:dyDescent="0.25">
      <c r="A44">
        <v>328840</v>
      </c>
      <c r="B44" s="1">
        <v>46144</v>
      </c>
      <c r="C44" s="3" t="s">
        <v>228</v>
      </c>
      <c r="D44" s="3" t="s">
        <v>242</v>
      </c>
      <c r="E44">
        <v>3</v>
      </c>
      <c r="F44">
        <v>380</v>
      </c>
      <c r="G44">
        <v>0</v>
      </c>
      <c r="H44">
        <v>380</v>
      </c>
      <c r="I44">
        <v>19</v>
      </c>
      <c r="J44">
        <v>9</v>
      </c>
      <c r="K44">
        <v>408</v>
      </c>
      <c r="L44" s="3" t="s">
        <v>180</v>
      </c>
      <c r="M44" s="3" t="s">
        <v>231</v>
      </c>
    </row>
    <row r="45" spans="1:13" x14ac:dyDescent="0.25">
      <c r="A45">
        <v>329313</v>
      </c>
      <c r="B45" s="1">
        <v>46146</v>
      </c>
      <c r="C45" s="3" t="s">
        <v>198</v>
      </c>
      <c r="D45" s="3" t="s">
        <v>237</v>
      </c>
      <c r="E45">
        <v>2</v>
      </c>
      <c r="F45">
        <v>230</v>
      </c>
      <c r="G45">
        <v>0</v>
      </c>
      <c r="H45">
        <v>230</v>
      </c>
      <c r="I45">
        <v>11.5</v>
      </c>
      <c r="J45">
        <v>35</v>
      </c>
      <c r="K45">
        <v>276.5</v>
      </c>
      <c r="L45" s="3" t="s">
        <v>180</v>
      </c>
      <c r="M45" s="3" t="s">
        <v>195</v>
      </c>
    </row>
    <row r="46" spans="1:13" x14ac:dyDescent="0.25">
      <c r="A46">
        <v>329320</v>
      </c>
      <c r="B46" s="1">
        <v>46146</v>
      </c>
      <c r="C46" s="3" t="s">
        <v>192</v>
      </c>
      <c r="D46" s="3" t="s">
        <v>196</v>
      </c>
      <c r="E46">
        <v>1</v>
      </c>
      <c r="F46">
        <v>100</v>
      </c>
      <c r="G46">
        <v>0</v>
      </c>
      <c r="H46">
        <v>100</v>
      </c>
      <c r="I46">
        <v>5</v>
      </c>
      <c r="J46">
        <v>37</v>
      </c>
      <c r="K46">
        <v>142</v>
      </c>
      <c r="L46" s="3" t="s">
        <v>180</v>
      </c>
      <c r="M46" s="3" t="s">
        <v>195</v>
      </c>
    </row>
    <row r="47" spans="1:13" x14ac:dyDescent="0.25">
      <c r="A47">
        <v>329343</v>
      </c>
      <c r="B47" s="1">
        <v>46146</v>
      </c>
      <c r="C47" s="3" t="s">
        <v>222</v>
      </c>
      <c r="D47" s="3" t="s">
        <v>235</v>
      </c>
      <c r="E47">
        <v>2</v>
      </c>
      <c r="F47">
        <v>220</v>
      </c>
      <c r="G47">
        <v>0</v>
      </c>
      <c r="H47">
        <v>220</v>
      </c>
      <c r="I47">
        <v>11</v>
      </c>
      <c r="J47">
        <v>19</v>
      </c>
      <c r="K47">
        <v>250</v>
      </c>
      <c r="L47" s="3" t="s">
        <v>180</v>
      </c>
      <c r="M47" s="3" t="s">
        <v>231</v>
      </c>
    </row>
    <row r="48" spans="1:13" x14ac:dyDescent="0.25">
      <c r="A48">
        <v>329526</v>
      </c>
      <c r="B48" s="1">
        <v>46147</v>
      </c>
      <c r="C48" s="3" t="s">
        <v>218</v>
      </c>
      <c r="D48" s="3" t="s">
        <v>230</v>
      </c>
      <c r="E48">
        <v>1</v>
      </c>
      <c r="F48">
        <v>120</v>
      </c>
      <c r="G48">
        <v>0</v>
      </c>
      <c r="H48">
        <v>120</v>
      </c>
      <c r="I48">
        <v>6</v>
      </c>
      <c r="J48">
        <v>29</v>
      </c>
      <c r="K48">
        <v>155</v>
      </c>
      <c r="L48" s="3" t="s">
        <v>180</v>
      </c>
      <c r="M48" s="3" t="s">
        <v>231</v>
      </c>
    </row>
    <row r="49" spans="1:13" x14ac:dyDescent="0.25">
      <c r="A49">
        <v>329689</v>
      </c>
      <c r="B49" s="1">
        <v>46148</v>
      </c>
      <c r="C49" s="3" t="s">
        <v>192</v>
      </c>
      <c r="D49" s="3" t="s">
        <v>196</v>
      </c>
      <c r="E49">
        <v>2</v>
      </c>
      <c r="F49">
        <v>230</v>
      </c>
      <c r="G49">
        <v>0</v>
      </c>
      <c r="H49">
        <v>230</v>
      </c>
      <c r="I49">
        <v>11.5</v>
      </c>
      <c r="J49">
        <v>35</v>
      </c>
      <c r="K49">
        <v>276.5</v>
      </c>
      <c r="L49" s="3" t="s">
        <v>180</v>
      </c>
      <c r="M49" s="3" t="s">
        <v>195</v>
      </c>
    </row>
    <row r="50" spans="1:13" x14ac:dyDescent="0.25">
      <c r="A50">
        <v>329701</v>
      </c>
      <c r="B50" s="1">
        <v>46148</v>
      </c>
      <c r="C50" s="3" t="s">
        <v>219</v>
      </c>
      <c r="D50" s="3" t="s">
        <v>232</v>
      </c>
      <c r="E50">
        <v>4</v>
      </c>
      <c r="F50">
        <v>480</v>
      </c>
      <c r="G50">
        <v>0</v>
      </c>
      <c r="H50">
        <v>480</v>
      </c>
      <c r="I50">
        <v>24</v>
      </c>
      <c r="J50">
        <v>25</v>
      </c>
      <c r="K50">
        <v>529</v>
      </c>
      <c r="L50" s="3" t="s">
        <v>180</v>
      </c>
      <c r="M50" s="3" t="s">
        <v>231</v>
      </c>
    </row>
    <row r="51" spans="1:13" x14ac:dyDescent="0.25">
      <c r="A51">
        <v>329928</v>
      </c>
      <c r="B51" s="1">
        <v>46149</v>
      </c>
      <c r="C51" s="3" t="s">
        <v>218</v>
      </c>
      <c r="D51" s="3" t="s">
        <v>230</v>
      </c>
      <c r="E51">
        <v>2</v>
      </c>
      <c r="F51">
        <v>240</v>
      </c>
      <c r="G51">
        <v>0</v>
      </c>
      <c r="H51">
        <v>240</v>
      </c>
      <c r="I51">
        <v>12</v>
      </c>
      <c r="J51">
        <v>19</v>
      </c>
      <c r="K51">
        <v>271</v>
      </c>
      <c r="L51" s="3" t="s">
        <v>180</v>
      </c>
      <c r="M51" s="3" t="s">
        <v>231</v>
      </c>
    </row>
    <row r="52" spans="1:13" x14ac:dyDescent="0.25">
      <c r="A52">
        <v>330608</v>
      </c>
      <c r="B52" s="1">
        <v>46153</v>
      </c>
      <c r="C52" s="3" t="s">
        <v>201</v>
      </c>
      <c r="D52" s="3" t="s">
        <v>245</v>
      </c>
      <c r="E52">
        <v>2</v>
      </c>
      <c r="F52">
        <v>230</v>
      </c>
      <c r="G52">
        <v>0</v>
      </c>
      <c r="H52">
        <v>230</v>
      </c>
      <c r="I52">
        <v>11.5</v>
      </c>
      <c r="J52">
        <v>35</v>
      </c>
      <c r="K52">
        <v>276.5</v>
      </c>
      <c r="L52" s="3" t="s">
        <v>180</v>
      </c>
      <c r="M52" s="3" t="s">
        <v>195</v>
      </c>
    </row>
    <row r="53" spans="1:13" x14ac:dyDescent="0.25">
      <c r="A53">
        <v>330930</v>
      </c>
      <c r="B53" s="1">
        <v>46155</v>
      </c>
      <c r="C53" s="3" t="s">
        <v>199</v>
      </c>
      <c r="D53" s="3" t="s">
        <v>209</v>
      </c>
      <c r="E53">
        <v>2</v>
      </c>
      <c r="F53">
        <v>220</v>
      </c>
      <c r="G53">
        <v>0</v>
      </c>
      <c r="H53">
        <v>220</v>
      </c>
      <c r="I53">
        <v>11</v>
      </c>
      <c r="J53">
        <v>19</v>
      </c>
      <c r="K53">
        <v>250</v>
      </c>
      <c r="L53" s="3" t="s">
        <v>180</v>
      </c>
      <c r="M53" s="3" t="s">
        <v>195</v>
      </c>
    </row>
    <row r="54" spans="1:13" x14ac:dyDescent="0.25">
      <c r="A54">
        <v>331174</v>
      </c>
      <c r="B54" s="1">
        <v>46156</v>
      </c>
      <c r="C54" s="3" t="s">
        <v>193</v>
      </c>
      <c r="D54" s="3" t="s">
        <v>197</v>
      </c>
      <c r="E54">
        <v>1</v>
      </c>
      <c r="F54">
        <v>100</v>
      </c>
      <c r="G54">
        <v>0</v>
      </c>
      <c r="H54">
        <v>100</v>
      </c>
      <c r="I54">
        <v>5</v>
      </c>
      <c r="J54">
        <v>29</v>
      </c>
      <c r="K54">
        <v>134</v>
      </c>
      <c r="L54" s="3" t="s">
        <v>180</v>
      </c>
      <c r="M54" s="3" t="s">
        <v>195</v>
      </c>
    </row>
    <row r="55" spans="1:13" x14ac:dyDescent="0.25">
      <c r="A55">
        <v>331215</v>
      </c>
      <c r="B55" s="1">
        <v>46156</v>
      </c>
      <c r="C55" s="3" t="s">
        <v>198</v>
      </c>
      <c r="D55" s="3" t="s">
        <v>237</v>
      </c>
      <c r="E55">
        <v>2</v>
      </c>
      <c r="F55">
        <v>230</v>
      </c>
      <c r="G55">
        <v>0</v>
      </c>
      <c r="H55">
        <v>230</v>
      </c>
      <c r="I55">
        <v>11.5</v>
      </c>
      <c r="J55">
        <v>35</v>
      </c>
      <c r="K55">
        <v>276.5</v>
      </c>
      <c r="L55" s="3" t="s">
        <v>180</v>
      </c>
      <c r="M55" s="3" t="s">
        <v>195</v>
      </c>
    </row>
    <row r="56" spans="1:13" x14ac:dyDescent="0.25">
      <c r="A56">
        <v>331336</v>
      </c>
      <c r="B56" s="1">
        <v>46157</v>
      </c>
      <c r="C56" s="3" t="s">
        <v>225</v>
      </c>
      <c r="D56" s="3" t="s">
        <v>239</v>
      </c>
      <c r="E56">
        <v>4</v>
      </c>
      <c r="F56">
        <v>500</v>
      </c>
      <c r="G56">
        <v>0</v>
      </c>
      <c r="H56">
        <v>500</v>
      </c>
      <c r="I56">
        <v>25</v>
      </c>
      <c r="J56">
        <v>25</v>
      </c>
      <c r="K56">
        <v>550</v>
      </c>
      <c r="L56" s="3" t="s">
        <v>180</v>
      </c>
      <c r="M56" s="3" t="s">
        <v>231</v>
      </c>
    </row>
    <row r="57" spans="1:13" x14ac:dyDescent="0.25">
      <c r="A57">
        <v>331344</v>
      </c>
      <c r="B57" s="1">
        <v>46157</v>
      </c>
      <c r="C57" s="3" t="s">
        <v>193</v>
      </c>
      <c r="D57" s="3" t="s">
        <v>197</v>
      </c>
      <c r="E57">
        <v>2</v>
      </c>
      <c r="F57">
        <v>200</v>
      </c>
      <c r="G57">
        <v>0</v>
      </c>
      <c r="H57">
        <v>200</v>
      </c>
      <c r="I57">
        <v>10</v>
      </c>
      <c r="J57">
        <v>19</v>
      </c>
      <c r="K57">
        <v>229</v>
      </c>
      <c r="L57" s="3" t="s">
        <v>180</v>
      </c>
      <c r="M57" s="3" t="s">
        <v>195</v>
      </c>
    </row>
    <row r="58" spans="1:13" x14ac:dyDescent="0.25">
      <c r="A58">
        <v>331400</v>
      </c>
      <c r="B58" s="1">
        <v>46157</v>
      </c>
      <c r="C58" s="3" t="s">
        <v>199</v>
      </c>
      <c r="D58" s="3" t="s">
        <v>209</v>
      </c>
      <c r="E58">
        <v>1</v>
      </c>
      <c r="F58">
        <v>110</v>
      </c>
      <c r="G58">
        <v>0</v>
      </c>
      <c r="H58">
        <v>110</v>
      </c>
      <c r="I58">
        <v>5.5</v>
      </c>
      <c r="J58">
        <v>37</v>
      </c>
      <c r="K58">
        <v>152.5</v>
      </c>
      <c r="L58" s="3" t="s">
        <v>180</v>
      </c>
      <c r="M58" s="3" t="s">
        <v>195</v>
      </c>
    </row>
    <row r="59" spans="1:13" x14ac:dyDescent="0.25">
      <c r="A59">
        <v>331422</v>
      </c>
      <c r="B59" s="1">
        <v>46157</v>
      </c>
      <c r="C59" s="3" t="s">
        <v>192</v>
      </c>
      <c r="D59" s="3" t="s">
        <v>196</v>
      </c>
      <c r="E59">
        <v>1</v>
      </c>
      <c r="F59">
        <v>100</v>
      </c>
      <c r="G59">
        <v>0</v>
      </c>
      <c r="H59">
        <v>100</v>
      </c>
      <c r="I59">
        <v>5</v>
      </c>
      <c r="J59">
        <v>37</v>
      </c>
      <c r="K59">
        <v>142</v>
      </c>
      <c r="L59" s="3" t="s">
        <v>180</v>
      </c>
      <c r="M59" s="3" t="s">
        <v>195</v>
      </c>
    </row>
    <row r="60" spans="1:13" x14ac:dyDescent="0.25">
      <c r="A60">
        <v>331449</v>
      </c>
      <c r="B60" s="1">
        <v>46158</v>
      </c>
      <c r="C60" s="3" t="s">
        <v>206</v>
      </c>
      <c r="D60" s="3" t="s">
        <v>215</v>
      </c>
      <c r="E60">
        <v>1</v>
      </c>
      <c r="F60">
        <v>110</v>
      </c>
      <c r="G60">
        <v>0</v>
      </c>
      <c r="H60">
        <v>110</v>
      </c>
      <c r="I60">
        <v>5.5</v>
      </c>
      <c r="J60">
        <v>29</v>
      </c>
      <c r="K60">
        <v>144.5</v>
      </c>
      <c r="L60" s="3" t="s">
        <v>180</v>
      </c>
      <c r="M60" s="3" t="s">
        <v>195</v>
      </c>
    </row>
    <row r="61" spans="1:13" x14ac:dyDescent="0.25">
      <c r="A61">
        <v>331467</v>
      </c>
      <c r="B61" s="1">
        <v>46158</v>
      </c>
      <c r="C61" s="3" t="s">
        <v>219</v>
      </c>
      <c r="D61" s="3" t="s">
        <v>232</v>
      </c>
      <c r="E61">
        <v>1</v>
      </c>
      <c r="F61">
        <v>120</v>
      </c>
      <c r="G61">
        <v>0</v>
      </c>
      <c r="H61">
        <v>120</v>
      </c>
      <c r="I61">
        <v>6</v>
      </c>
      <c r="J61">
        <v>29</v>
      </c>
      <c r="K61">
        <v>155</v>
      </c>
      <c r="L61" s="3" t="s">
        <v>180</v>
      </c>
      <c r="M61" s="3" t="s">
        <v>231</v>
      </c>
    </row>
    <row r="62" spans="1:13" x14ac:dyDescent="0.25">
      <c r="A62">
        <v>331714</v>
      </c>
      <c r="B62" s="1">
        <v>46159</v>
      </c>
      <c r="C62" s="3" t="s">
        <v>192</v>
      </c>
      <c r="D62" s="3" t="s">
        <v>196</v>
      </c>
      <c r="E62">
        <v>2</v>
      </c>
      <c r="F62">
        <v>230</v>
      </c>
      <c r="G62">
        <v>0</v>
      </c>
      <c r="H62">
        <v>230</v>
      </c>
      <c r="I62">
        <v>11.5</v>
      </c>
      <c r="J62">
        <v>27</v>
      </c>
      <c r="K62">
        <v>268.5</v>
      </c>
      <c r="L62" s="3" t="s">
        <v>180</v>
      </c>
      <c r="M62" s="3" t="s">
        <v>195</v>
      </c>
    </row>
    <row r="63" spans="1:13" x14ac:dyDescent="0.25">
      <c r="A63">
        <v>331805</v>
      </c>
      <c r="B63" s="1">
        <v>46160</v>
      </c>
      <c r="C63" s="3" t="s">
        <v>219</v>
      </c>
      <c r="D63" s="3" t="s">
        <v>232</v>
      </c>
      <c r="E63">
        <v>2</v>
      </c>
      <c r="F63">
        <v>240</v>
      </c>
      <c r="G63">
        <v>0</v>
      </c>
      <c r="H63">
        <v>240</v>
      </c>
      <c r="I63">
        <v>12</v>
      </c>
      <c r="J63">
        <v>27</v>
      </c>
      <c r="K63">
        <v>279</v>
      </c>
      <c r="L63" s="3" t="s">
        <v>180</v>
      </c>
      <c r="M63" s="3" t="s">
        <v>231</v>
      </c>
    </row>
    <row r="64" spans="1:13" x14ac:dyDescent="0.25">
      <c r="A64">
        <v>332706</v>
      </c>
      <c r="B64" s="1">
        <v>46166</v>
      </c>
      <c r="C64" s="3" t="s">
        <v>226</v>
      </c>
      <c r="D64" s="3" t="s">
        <v>240</v>
      </c>
      <c r="E64">
        <v>4</v>
      </c>
      <c r="F64">
        <v>440</v>
      </c>
      <c r="G64">
        <v>0</v>
      </c>
      <c r="H64">
        <v>440</v>
      </c>
      <c r="I64">
        <v>22</v>
      </c>
      <c r="J64">
        <v>9</v>
      </c>
      <c r="K64">
        <v>471</v>
      </c>
      <c r="L64" s="3" t="s">
        <v>181</v>
      </c>
      <c r="M64" s="3" t="s">
        <v>231</v>
      </c>
    </row>
    <row r="65" spans="1:13" x14ac:dyDescent="0.25">
      <c r="A65">
        <v>333047</v>
      </c>
      <c r="B65" s="1">
        <v>46168</v>
      </c>
      <c r="C65" s="3" t="s">
        <v>228</v>
      </c>
      <c r="D65" s="3" t="s">
        <v>242</v>
      </c>
      <c r="E65">
        <v>2</v>
      </c>
      <c r="F65">
        <v>260</v>
      </c>
      <c r="G65">
        <v>0</v>
      </c>
      <c r="H65">
        <v>260</v>
      </c>
      <c r="I65">
        <v>13</v>
      </c>
      <c r="J65">
        <v>19</v>
      </c>
      <c r="K65">
        <v>292</v>
      </c>
      <c r="L65" s="3" t="s">
        <v>181</v>
      </c>
      <c r="M65" s="3" t="s">
        <v>231</v>
      </c>
    </row>
    <row r="66" spans="1:13" x14ac:dyDescent="0.25">
      <c r="A66">
        <v>333054</v>
      </c>
      <c r="B66" s="1">
        <v>46168</v>
      </c>
      <c r="C66" s="3" t="s">
        <v>218</v>
      </c>
      <c r="D66" s="3" t="s">
        <v>230</v>
      </c>
      <c r="E66">
        <v>2</v>
      </c>
      <c r="F66">
        <v>240</v>
      </c>
      <c r="G66">
        <v>0</v>
      </c>
      <c r="H66">
        <v>240</v>
      </c>
      <c r="I66">
        <v>12</v>
      </c>
      <c r="J66">
        <v>19</v>
      </c>
      <c r="K66">
        <v>271</v>
      </c>
      <c r="L66" s="3" t="s">
        <v>181</v>
      </c>
      <c r="M66" s="3" t="s">
        <v>231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0547-41EA-4473-BC61-8B08577CD2A3}">
  <dimension ref="A1:H3"/>
  <sheetViews>
    <sheetView workbookViewId="0">
      <selection activeCell="B2" sqref="B2:B3"/>
    </sheetView>
  </sheetViews>
  <sheetFormatPr defaultRowHeight="15" x14ac:dyDescent="0.25"/>
  <cols>
    <col min="1" max="1" width="22.85546875" bestFit="1" customWidth="1"/>
  </cols>
  <sheetData>
    <row r="1" spans="1:8" ht="15.75" x14ac:dyDescent="0.25">
      <c r="A1" s="4" t="s">
        <v>246</v>
      </c>
      <c r="B1" s="5"/>
      <c r="C1" s="5"/>
      <c r="D1" s="5"/>
      <c r="E1" s="5"/>
      <c r="F1" s="5"/>
      <c r="G1" s="5"/>
      <c r="H1" s="5"/>
    </row>
    <row r="2" spans="1:8" x14ac:dyDescent="0.25">
      <c r="A2" t="s">
        <v>247</v>
      </c>
      <c r="B2">
        <f>SUM(Orders_tbl!L:L)</f>
        <v>15844.5</v>
      </c>
    </row>
    <row r="3" spans="1:8" x14ac:dyDescent="0.25">
      <c r="A3" t="s">
        <v>248</v>
      </c>
      <c r="B3">
        <f>COUNTA(Orders_tbl!A:A)</f>
        <v>66</v>
      </c>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AA15A-ED41-4DF0-9AEE-D9485FD18F36}">
  <dimension ref="A1:J45"/>
  <sheetViews>
    <sheetView topLeftCell="A13" workbookViewId="0">
      <selection activeCell="L24" sqref="L24"/>
    </sheetView>
  </sheetViews>
  <sheetFormatPr defaultRowHeight="15" x14ac:dyDescent="0.25"/>
  <cols>
    <col min="1" max="1" width="13.140625" bestFit="1" customWidth="1"/>
    <col min="2" max="2" width="28.7109375" bestFit="1" customWidth="1"/>
    <col min="3" max="3" width="15.7109375" bestFit="1" customWidth="1"/>
  </cols>
  <sheetData>
    <row r="1" spans="1:10" ht="21" x14ac:dyDescent="0.35">
      <c r="A1" s="9" t="s">
        <v>253</v>
      </c>
      <c r="B1" s="9"/>
      <c r="C1" s="9"/>
      <c r="D1" s="9"/>
      <c r="E1" s="9"/>
      <c r="F1" s="9"/>
      <c r="G1" s="9"/>
      <c r="H1" s="9"/>
      <c r="I1" s="9"/>
      <c r="J1" s="9"/>
    </row>
    <row r="3" spans="1:10" x14ac:dyDescent="0.25">
      <c r="A3" s="6" t="s">
        <v>250</v>
      </c>
      <c r="B3" t="s">
        <v>252</v>
      </c>
    </row>
    <row r="4" spans="1:10" x14ac:dyDescent="0.25">
      <c r="A4" s="7" t="s">
        <v>231</v>
      </c>
      <c r="B4" s="3">
        <v>9994.5</v>
      </c>
    </row>
    <row r="5" spans="1:10" x14ac:dyDescent="0.25">
      <c r="A5" s="7" t="s">
        <v>195</v>
      </c>
      <c r="B5" s="3">
        <v>5850</v>
      </c>
    </row>
    <row r="6" spans="1:10" x14ac:dyDescent="0.25">
      <c r="A6" s="7" t="s">
        <v>251</v>
      </c>
      <c r="B6" s="3">
        <v>15844.5</v>
      </c>
    </row>
    <row r="16" spans="1:10" ht="18.75" x14ac:dyDescent="0.3">
      <c r="A16" s="8" t="s">
        <v>254</v>
      </c>
      <c r="B16" s="8"/>
      <c r="C16" s="8"/>
      <c r="D16" s="8"/>
      <c r="E16" s="8"/>
      <c r="F16" s="8"/>
      <c r="G16" s="8"/>
      <c r="H16" s="8"/>
      <c r="I16" s="8"/>
      <c r="J16" s="8"/>
    </row>
    <row r="19" spans="1:2" x14ac:dyDescent="0.25">
      <c r="A19" s="6" t="s">
        <v>250</v>
      </c>
      <c r="B19" t="s">
        <v>252</v>
      </c>
    </row>
    <row r="20" spans="1:2" x14ac:dyDescent="0.25">
      <c r="A20" s="7" t="s">
        <v>233</v>
      </c>
      <c r="B20" s="3">
        <v>550</v>
      </c>
    </row>
    <row r="21" spans="1:2" x14ac:dyDescent="0.25">
      <c r="A21" s="7" t="s">
        <v>241</v>
      </c>
      <c r="B21" s="3">
        <v>616</v>
      </c>
    </row>
    <row r="22" spans="1:2" x14ac:dyDescent="0.25">
      <c r="A22" s="7" t="s">
        <v>232</v>
      </c>
      <c r="B22" s="3">
        <v>2041.5</v>
      </c>
    </row>
    <row r="23" spans="1:2" x14ac:dyDescent="0.25">
      <c r="A23" s="7" t="s">
        <v>240</v>
      </c>
      <c r="B23" s="3">
        <v>718.5</v>
      </c>
    </row>
    <row r="24" spans="1:2" x14ac:dyDescent="0.25">
      <c r="A24" s="7" t="s">
        <v>238</v>
      </c>
      <c r="B24" s="3">
        <v>176</v>
      </c>
    </row>
    <row r="25" spans="1:2" x14ac:dyDescent="0.25">
      <c r="A25" s="7" t="s">
        <v>243</v>
      </c>
      <c r="B25" s="3">
        <v>626</v>
      </c>
    </row>
    <row r="26" spans="1:2" x14ac:dyDescent="0.25">
      <c r="A26" s="7" t="s">
        <v>230</v>
      </c>
      <c r="B26" s="3">
        <v>2235.5</v>
      </c>
    </row>
    <row r="27" spans="1:2" x14ac:dyDescent="0.25">
      <c r="A27" s="7" t="s">
        <v>239</v>
      </c>
      <c r="B27" s="3">
        <v>831.5</v>
      </c>
    </row>
    <row r="28" spans="1:2" x14ac:dyDescent="0.25">
      <c r="A28" s="7" t="s">
        <v>235</v>
      </c>
      <c r="B28" s="3">
        <v>760.5</v>
      </c>
    </row>
    <row r="29" spans="1:2" x14ac:dyDescent="0.25">
      <c r="A29" s="7" t="s">
        <v>242</v>
      </c>
      <c r="B29" s="3">
        <v>1284</v>
      </c>
    </row>
    <row r="30" spans="1:2" x14ac:dyDescent="0.25">
      <c r="A30" s="7" t="s">
        <v>234</v>
      </c>
      <c r="B30" s="3">
        <v>155</v>
      </c>
    </row>
    <row r="31" spans="1:2" x14ac:dyDescent="0.25">
      <c r="A31" s="7" t="s">
        <v>196</v>
      </c>
      <c r="B31" s="3">
        <v>960.5</v>
      </c>
    </row>
    <row r="32" spans="1:2" x14ac:dyDescent="0.25">
      <c r="A32" s="7" t="s">
        <v>194</v>
      </c>
      <c r="B32" s="3">
        <v>131.5</v>
      </c>
    </row>
    <row r="33" spans="1:2" x14ac:dyDescent="0.25">
      <c r="A33" s="7" t="s">
        <v>215</v>
      </c>
      <c r="B33" s="3">
        <v>144.5</v>
      </c>
    </row>
    <row r="34" spans="1:2" x14ac:dyDescent="0.25">
      <c r="A34" s="7" t="s">
        <v>197</v>
      </c>
      <c r="B34" s="3">
        <v>592</v>
      </c>
    </row>
    <row r="35" spans="1:2" x14ac:dyDescent="0.25">
      <c r="A35" s="7" t="s">
        <v>209</v>
      </c>
      <c r="B35" s="3">
        <v>681</v>
      </c>
    </row>
    <row r="36" spans="1:2" x14ac:dyDescent="0.25">
      <c r="A36" s="7" t="s">
        <v>210</v>
      </c>
      <c r="B36" s="3">
        <v>389.5</v>
      </c>
    </row>
    <row r="37" spans="1:2" x14ac:dyDescent="0.25">
      <c r="A37" s="7" t="s">
        <v>217</v>
      </c>
      <c r="B37" s="3">
        <v>218.5</v>
      </c>
    </row>
    <row r="38" spans="1:2" x14ac:dyDescent="0.25">
      <c r="A38" s="7" t="s">
        <v>212</v>
      </c>
      <c r="B38" s="3">
        <v>397.5</v>
      </c>
    </row>
    <row r="39" spans="1:2" x14ac:dyDescent="0.25">
      <c r="A39" s="7" t="s">
        <v>216</v>
      </c>
      <c r="B39" s="3">
        <v>168.5</v>
      </c>
    </row>
    <row r="40" spans="1:2" x14ac:dyDescent="0.25">
      <c r="A40" s="7" t="s">
        <v>214</v>
      </c>
      <c r="B40" s="3">
        <v>384.5</v>
      </c>
    </row>
    <row r="41" spans="1:2" x14ac:dyDescent="0.25">
      <c r="A41" s="7" t="s">
        <v>213</v>
      </c>
      <c r="B41" s="3">
        <v>250</v>
      </c>
    </row>
    <row r="42" spans="1:2" x14ac:dyDescent="0.25">
      <c r="A42" s="7" t="s">
        <v>245</v>
      </c>
      <c r="B42" s="3">
        <v>729</v>
      </c>
    </row>
    <row r="43" spans="1:2" x14ac:dyDescent="0.25">
      <c r="A43" s="7" t="s">
        <v>211</v>
      </c>
      <c r="B43" s="3">
        <v>250</v>
      </c>
    </row>
    <row r="44" spans="1:2" x14ac:dyDescent="0.25">
      <c r="A44" s="7" t="s">
        <v>237</v>
      </c>
      <c r="B44" s="3">
        <v>553</v>
      </c>
    </row>
    <row r="45" spans="1:2" x14ac:dyDescent="0.25">
      <c r="A45" s="7" t="s">
        <v>251</v>
      </c>
      <c r="B45" s="3">
        <v>15844.5</v>
      </c>
    </row>
  </sheetData>
  <mergeCells count="2">
    <mergeCell ref="A16:J16"/>
    <mergeCell ref="A1:J1"/>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049D-F4FC-4858-9105-61585F948AF9}">
  <dimension ref="A1:T4"/>
  <sheetViews>
    <sheetView tabSelected="1" topLeftCell="A7" workbookViewId="0">
      <selection activeCell="V2" sqref="V2:V3"/>
    </sheetView>
  </sheetViews>
  <sheetFormatPr defaultRowHeight="15" x14ac:dyDescent="0.25"/>
  <cols>
    <col min="1" max="1" width="24" bestFit="1" customWidth="1"/>
  </cols>
  <sheetData>
    <row r="1" spans="1:20" ht="21" x14ac:dyDescent="0.35">
      <c r="A1" s="10" t="s">
        <v>255</v>
      </c>
      <c r="B1" s="10"/>
      <c r="C1" s="10"/>
      <c r="D1" s="10"/>
      <c r="E1" s="10"/>
      <c r="F1" s="10"/>
      <c r="G1" s="10"/>
      <c r="H1" s="10"/>
      <c r="I1" s="10"/>
      <c r="J1" s="10"/>
      <c r="K1" s="10"/>
      <c r="L1" s="10"/>
      <c r="M1" s="10"/>
      <c r="N1" s="10"/>
      <c r="O1" s="10"/>
      <c r="P1" s="10"/>
      <c r="Q1" s="10"/>
      <c r="R1" s="10"/>
      <c r="S1" s="10"/>
      <c r="T1" s="10"/>
    </row>
    <row r="3" spans="1:20" x14ac:dyDescent="0.25">
      <c r="A3" t="s">
        <v>247</v>
      </c>
      <c r="B3">
        <f>SUM(Orders_tbl!L:L)</f>
        <v>15844.5</v>
      </c>
    </row>
    <row r="4" spans="1:20" x14ac:dyDescent="0.25">
      <c r="A4" t="s">
        <v>248</v>
      </c>
      <c r="B4">
        <f>COUNTA(Orders_tbl!A:A)</f>
        <v>66</v>
      </c>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2DAAD11-BABE-4021-AFAC-72AC6FE15B98}">
  <ds:schemaRefs/>
</ds:datastoreItem>
</file>

<file path=customXml/itemProps2.xml><?xml version="1.0" encoding="utf-8"?>
<ds:datastoreItem xmlns:ds="http://schemas.openxmlformats.org/officeDocument/2006/customXml" ds:itemID="{7A321FFB-EBBA-4FD9-AF42-93C09C83923E}">
  <ds:schemaRefs/>
</ds:datastoreItem>
</file>

<file path=customXml/itemProps3.xml><?xml version="1.0" encoding="utf-8"?>
<ds:datastoreItem xmlns:ds="http://schemas.openxmlformats.org/officeDocument/2006/customXml" ds:itemID="{F51F082E-2682-4AD4-A542-2BC02F317D0B}">
  <ds:schemaRefs/>
</ds:datastoreItem>
</file>

<file path=customXml/itemProps4.xml><?xml version="1.0" encoding="utf-8"?>
<ds:datastoreItem xmlns:ds="http://schemas.openxmlformats.org/officeDocument/2006/customXml" ds:itemID="{E5413A0C-3D42-45F2-A48B-830A6DC95185}">
  <ds:schemaRefs/>
</ds:datastoreItem>
</file>

<file path=customXml/itemProps5.xml><?xml version="1.0" encoding="utf-8"?>
<ds:datastoreItem xmlns:ds="http://schemas.openxmlformats.org/officeDocument/2006/customXml" ds:itemID="{E904BC3B-5F88-4C34-8FF0-72B3549E4442}">
  <ds:schemaRefs/>
</ds:datastoreItem>
</file>

<file path=customXml/itemProps6.xml><?xml version="1.0" encoding="utf-8"?>
<ds:datastoreItem xmlns:ds="http://schemas.openxmlformats.org/officeDocument/2006/customXml" ds:itemID="{BC7D9C86-60C3-4570-BAE3-2B42ADD7898F}">
  <ds:schemaRefs/>
</ds:datastoreItem>
</file>

<file path=customXml/itemProps7.xml><?xml version="1.0" encoding="utf-8"?>
<ds:datastoreItem xmlns:ds="http://schemas.openxmlformats.org/officeDocument/2006/customXml" ds:itemID="{913BB11F-9F50-412D-A3F9-4B30182A3DB1}">
  <ds:schemaRefs/>
</ds:datastoreItem>
</file>

<file path=customXml/itemProps8.xml><?xml version="1.0" encoding="utf-8"?>
<ds:datastoreItem xmlns:ds="http://schemas.openxmlformats.org/officeDocument/2006/customXml" ds:itemID="{1C3B77E7-7EA3-45E5-AEC5-14E59A6ED944}">
  <ds:schemaRefs/>
</ds:datastoreItem>
</file>

<file path=customXml/itemProps9.xml><?xml version="1.0" encoding="utf-8"?>
<ds:datastoreItem xmlns:ds="http://schemas.openxmlformats.org/officeDocument/2006/customXml" ds:itemID="{8957990A-F66B-4C97-B1E7-D5254B0B2FBC}">
  <ds:schemaRefs/>
</ds:datastoreItem>
</file>

<file path=customXml/itemProps10.xml><?xml version="1.0" encoding="utf-8"?>
<ds:datastoreItem xmlns:ds="http://schemas.openxmlformats.org/officeDocument/2006/customXml" ds:itemID="{11982E50-8868-48CE-92E6-AABEB838140E}">
  <ds:schemaRefs/>
</ds:datastoreItem>
</file>

<file path=customXml/itemProps11.xml><?xml version="1.0" encoding="utf-8"?>
<ds:datastoreItem xmlns:ds="http://schemas.openxmlformats.org/officeDocument/2006/customXml" ds:itemID="{8A548974-5E6B-477C-9432-5101E036396E}">
  <ds:schemaRefs/>
</ds:datastoreItem>
</file>

<file path=customXml/itemProps12.xml><?xml version="1.0" encoding="utf-8"?>
<ds:datastoreItem xmlns:ds="http://schemas.openxmlformats.org/officeDocument/2006/customXml" ds:itemID="{33ABFA0E-72EC-4A1D-A446-733F6B0E3968}">
  <ds:schemaRefs/>
</ds:datastoreItem>
</file>

<file path=customXml/itemProps13.xml><?xml version="1.0" encoding="utf-8"?>
<ds:datastoreItem xmlns:ds="http://schemas.openxmlformats.org/officeDocument/2006/customXml" ds:itemID="{87422770-622F-4F02-AE0A-11C24AC5EC62}">
  <ds:schemaRefs/>
</ds:datastoreItem>
</file>

<file path=customXml/itemProps14.xml><?xml version="1.0" encoding="utf-8"?>
<ds:datastoreItem xmlns:ds="http://schemas.openxmlformats.org/officeDocument/2006/customXml" ds:itemID="{1724F377-B067-4C0C-82C1-013391CCF68E}">
  <ds:schemaRefs/>
</ds:datastoreItem>
</file>

<file path=customXml/itemProps15.xml><?xml version="1.0" encoding="utf-8"?>
<ds:datastoreItem xmlns:ds="http://schemas.openxmlformats.org/officeDocument/2006/customXml" ds:itemID="{22087210-795D-4A67-8227-2480408539C5}">
  <ds:schemaRefs/>
</ds:datastoreItem>
</file>

<file path=customXml/itemProps16.xml><?xml version="1.0" encoding="utf-8"?>
<ds:datastoreItem xmlns:ds="http://schemas.openxmlformats.org/officeDocument/2006/customXml" ds:itemID="{EC7AACC2-515B-4AC8-8EA0-8177AEED6F54}">
  <ds:schemaRefs/>
</ds:datastoreItem>
</file>

<file path=customXml/itemProps17.xml><?xml version="1.0" encoding="utf-8"?>
<ds:datastoreItem xmlns:ds="http://schemas.openxmlformats.org/officeDocument/2006/customXml" ds:itemID="{2CEDC213-4C2E-4137-842B-32166060EB80}">
  <ds:schemaRefs/>
</ds:datastoreItem>
</file>

<file path=customXml/itemProps18.xml><?xml version="1.0" encoding="utf-8"?>
<ds:datastoreItem xmlns:ds="http://schemas.openxmlformats.org/officeDocument/2006/customXml" ds:itemID="{A02EBCC4-EDAF-4077-9422-DDCE3D2A5E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Orders_tbl</vt:lpstr>
      <vt:lpstr>tabl_product</vt:lpstr>
      <vt:lpstr>product_tbl</vt:lpstr>
      <vt:lpstr>CLEANED_DATA</vt:lpstr>
      <vt:lpstr>KPI'S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chakali venkatesh</dc:creator>
  <cp:lastModifiedBy>chakali venkatesh</cp:lastModifiedBy>
  <dcterms:created xsi:type="dcterms:W3CDTF">2026-05-28T07:30:12Z</dcterms:created>
  <dcterms:modified xsi:type="dcterms:W3CDTF">2026-05-29T08:13:56Z</dcterms:modified>
</cp:coreProperties>
</file>